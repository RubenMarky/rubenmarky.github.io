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Práctica resue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 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sz val="10"/>
    </font>
    <font>
      <name val="Arial"/>
      <b val="1"/>
      <color rgb="002F6B4F"/>
      <sz val="12"/>
    </font>
    <font>
      <name val="Arial"/>
      <b val="1"/>
      <color rgb="00FFFFFF"/>
    </font>
    <font>
      <name val="Arial"/>
      <b val="1"/>
    </font>
    <font>
      <name val="Arial"/>
    </font>
    <font>
      <name val="Courier New"/>
      <b val="1"/>
      <color rgb="000C447C"/>
      <sz val="9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sz val="9"/>
    </font>
    <font>
      <name val="Arial"/>
      <b val="1"/>
      <color rgb="002F6B4F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2F6B4F"/>
      </patternFill>
    </fill>
    <fill>
      <patternFill patternType="solid">
        <fgColor rgb="00F5F4EC"/>
      </patternFill>
    </fill>
    <fill>
      <patternFill patternType="solid">
        <fgColor rgb="00E8F1EC"/>
      </patternFill>
    </fill>
  </fills>
  <borders count="5">
    <border>
      <left/>
      <right/>
      <top/>
      <bottom/>
      <diagonal/>
    </border>
    <border>
      <left style="thin">
        <color rgb="00B7CBBF"/>
      </left>
      <right style="thin">
        <color rgb="00B7CBBF"/>
      </right>
      <top style="thin">
        <color rgb="00B7CBBF"/>
      </top>
      <bottom style="thin">
        <color rgb="00B7CBBF"/>
      </bottom>
    </border>
    <border>
      <left/>
      <right/>
      <top style="thin">
        <color rgb="00B7CBBF"/>
      </top>
      <bottom/>
      <diagonal/>
    </border>
    <border>
      <left/>
      <right style="thin">
        <color rgb="00B7CBBF"/>
      </right>
      <top style="thin">
        <color rgb="00B7CBBF"/>
      </top>
      <bottom/>
      <diagonal/>
    </border>
    <border>
      <left/>
      <right style="thin">
        <color rgb="00B7CBBF"/>
      </right>
      <top style="thin">
        <color rgb="00B7CBBF"/>
      </top>
      <bottom style="thin">
        <color rgb="00B7CB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0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0" borderId="1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/>
    </xf>
    <xf numFmtId="0" fontId="11" fillId="4" borderId="1" pivotButton="0" quotePrefix="0" xfId="0"/>
    <xf numFmtId="165" fontId="11" fillId="4" borderId="1" pivotButton="0" quotePrefix="0" xfId="0"/>
    <xf numFmtId="166" fontId="11" fillId="4" borderId="1" pivotButton="0" quotePrefix="0" xfId="0"/>
    <xf numFmtId="0" fontId="11" fillId="0" borderId="1" pivotButton="0" quotePrefix="0" xfId="0"/>
    <xf numFmtId="166" fontId="11" fillId="0" borderId="1" pivotButton="0" quotePrefix="0" xfId="0"/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6" fontId="12" fillId="0" borderId="1" pivotButton="0" quotePrefix="0" xfId="0"/>
    <xf numFmtId="165" fontId="11" fillId="0" borderId="1" pivotButton="0" quotePrefix="0" xfId="0"/>
    <xf numFmtId="0" fontId="10" fillId="2" borderId="1" pivotButton="0" quotePrefix="0" xfId="0"/>
    <xf numFmtId="0" fontId="13" fillId="0" borderId="1" pivotButton="0" quotePrefix="0" xfId="0"/>
    <xf numFmtId="166" fontId="14" fillId="0" borderId="1" applyAlignment="1" pivotButton="0" quotePrefix="0" xfId="0">
      <alignment horizontal="right"/>
    </xf>
    <xf numFmtId="1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44" customWidth="1" min="3" max="3"/>
    <col width="16" customWidth="1" min="4" max="4"/>
  </cols>
  <sheetData>
    <row r="1" ht="30" customHeight="1">
      <c r="A1" s="1" t="inlineStr">
        <is>
          <t>Caso integrador: Distribuidora Tierra Colorada S.A.</t>
        </is>
      </c>
    </row>
    <row r="2">
      <c r="A2" s="2" t="inlineStr">
        <is>
          <t>Prof. Rubén Markwart — E.P.E.T. N°7 (EPJA) — Caso práctico integrador de Excel</t>
        </is>
      </c>
    </row>
    <row r="4" ht="30" customHeight="1">
      <c r="A4" s="3" t="inlineStr">
        <is>
          <t>ESCENARIO: Distribuidora de insumos informáticos de Posadas que vende a escuelas técnicas y municipios de Misiones. Problemas: datos importados con formatos inconsistentes, sin visibilidad de plazos de entrega, y comisiones calculadas a mano. Tu misión: transformar el crudo en un tablero limpio y automatizado. Los datos ya están cargados en la hoja "Práctica resuelta".</t>
        </is>
      </c>
    </row>
    <row r="5" ht="30" customHeight="1"/>
    <row r="7">
      <c r="A7" s="4" t="inlineStr">
        <is>
          <t>DESAFÍO 1 — Limpieza de texto</t>
        </is>
      </c>
    </row>
    <row r="8">
      <c r="A8" s="5" t="inlineStr">
        <is>
          <t>Celda</t>
        </is>
      </c>
      <c r="B8" s="5" t="inlineStr">
        <is>
          <t>Instrucción del cálculo</t>
        </is>
      </c>
      <c r="C8" s="5" t="inlineStr">
        <is>
          <t>Fórmula de Excel (español)</t>
        </is>
      </c>
      <c r="D8" s="6" t="n"/>
    </row>
    <row r="9" ht="30" customHeight="1">
      <c r="A9" s="7" t="inlineStr">
        <is>
          <t>K2</t>
        </is>
      </c>
      <c r="B9" s="8" t="inlineStr">
        <is>
          <t>Nombre del vendedor con iniciales en mayúscula</t>
        </is>
      </c>
      <c r="C9" s="9" t="inlineStr">
        <is>
          <t>=NOMPROPIO(B2)</t>
        </is>
      </c>
      <c r="D9" s="10" t="n"/>
    </row>
    <row r="10" ht="30" customHeight="1">
      <c r="A10" s="11" t="inlineStr">
        <is>
          <t>L2</t>
        </is>
      </c>
      <c r="B10" s="12" t="inlineStr">
        <is>
          <t>Número de pedido (últimos 3 caracteres de A2) como valor numérico</t>
        </is>
      </c>
      <c r="C10" s="13" t="inlineStr">
        <is>
          <t>=VALOR(DERECHA(A2;3))</t>
        </is>
      </c>
      <c r="D10" s="14" t="n"/>
    </row>
    <row r="11">
      <c r="A11" s="15" t="inlineStr">
        <is>
          <t>→ Arrastrá ambas hasta la fila 11.</t>
        </is>
      </c>
    </row>
    <row r="13">
      <c r="A13" s="4" t="inlineStr">
        <is>
          <t>DESAFÍO 2 — Fecha y tiempo</t>
        </is>
      </c>
    </row>
    <row r="14">
      <c r="A14" s="5" t="inlineStr">
        <is>
          <t>Celda</t>
        </is>
      </c>
      <c r="B14" s="5" t="inlineStr">
        <is>
          <t>Instrucción del cálculo</t>
        </is>
      </c>
      <c r="C14" s="5" t="inlineStr">
        <is>
          <t>Fórmula de Excel (español)</t>
        </is>
      </c>
      <c r="D14" s="6" t="n"/>
    </row>
    <row r="15" ht="30" customHeight="1">
      <c r="A15" s="7" t="inlineStr">
        <is>
          <t>M2</t>
        </is>
      </c>
      <c r="B15" s="8" t="inlineStr">
        <is>
          <t>Días hábiles entre pedido y entrega (estándar: ≤ 7)</t>
        </is>
      </c>
      <c r="C15" s="9" t="inlineStr">
        <is>
          <t>=DIAS.LAB(D2;E2)</t>
        </is>
      </c>
      <c r="D15" s="10" t="n"/>
    </row>
    <row r="16" ht="30" customHeight="1">
      <c r="A16" s="11" t="inlineStr">
        <is>
          <t>N2</t>
        </is>
      </c>
      <c r="B16" s="12" t="inlineStr">
        <is>
          <t>"DEMORADO" si los días hábiles superan 7, sino "En término"</t>
        </is>
      </c>
      <c r="C16" s="13" t="inlineStr">
        <is>
          <t>=SI(M2&gt;7;"DEMORADO";"En término")</t>
        </is>
      </c>
      <c r="D16" s="14" t="n"/>
    </row>
    <row r="17">
      <c r="A17" s="15" t="inlineStr">
        <is>
          <t>→ Arrastrá hasta la fila 11. Deben quedar demorados los pedidos 002, 005, 007 y 009.</t>
        </is>
      </c>
    </row>
    <row r="19">
      <c r="A19" s="4" t="inlineStr">
        <is>
          <t>DESAFÍO 3 — Lógica y condicionales</t>
        </is>
      </c>
    </row>
    <row r="20">
      <c r="A20" s="5" t="inlineStr">
        <is>
          <t>Celda</t>
        </is>
      </c>
      <c r="B20" s="5" t="inlineStr">
        <is>
          <t>Instrucción del cálculo</t>
        </is>
      </c>
      <c r="C20" s="5" t="inlineStr">
        <is>
          <t>Fórmula de Excel (español)</t>
        </is>
      </c>
      <c r="D20" s="6" t="n"/>
    </row>
    <row r="21" ht="30" customHeight="1">
      <c r="A21" s="7" t="inlineStr">
        <is>
          <t>O2</t>
        </is>
      </c>
      <c r="B21" s="8" t="inlineStr">
        <is>
          <t>Comisión escalonada (≥1,5M: 5% / ≥700K: 3% / resto: 1,5%) reducida a la mitad si está DEMORADO</t>
        </is>
      </c>
      <c r="C21" s="9" t="inlineStr">
        <is>
          <t>=SI.CONJUNTO(F2&gt;=1500000;F2*5%;F2&gt;=700000;F2*3%;VERDADERO;F2*1,5%)*SI(N2="DEMORADO";0,5;1)</t>
        </is>
      </c>
      <c r="D21" s="10" t="n"/>
    </row>
    <row r="22">
      <c r="A22" s="15" t="inlineStr">
        <is>
          <t>→ Arrastrá hasta la fila 11. Verificación: pedido 005 → $52.500; pedido 001 → $7.200.</t>
        </is>
      </c>
    </row>
    <row r="24">
      <c r="A24" s="4" t="inlineStr">
        <is>
          <t>DESAFÍO 4 — Búsqueda</t>
        </is>
      </c>
    </row>
    <row r="25">
      <c r="A25" s="5" t="inlineStr">
        <is>
          <t>Celda</t>
        </is>
      </c>
      <c r="B25" s="5" t="inlineStr">
        <is>
          <t>Instrucción del cálculo</t>
        </is>
      </c>
      <c r="C25" s="5" t="inlineStr">
        <is>
          <t>Fórmula de Excel (español)</t>
        </is>
      </c>
      <c r="D25" s="6" t="n"/>
    </row>
    <row r="26" ht="30" customHeight="1">
      <c r="A26" s="7" t="inlineStr">
        <is>
          <t>P2</t>
        </is>
      </c>
      <c r="B26" s="8" t="inlineStr">
        <is>
          <t>Supervisor de la zona del pedido (tabla auxiliar H2:I4)</t>
        </is>
      </c>
      <c r="C26" s="9" t="inlineStr">
        <is>
          <t>=BUSCARX(C2;$H$2:$H$4;$I$2:$I$4;"Sin zona")</t>
        </is>
      </c>
      <c r="D26" s="10" t="n"/>
    </row>
    <row r="27" ht="30" customHeight="1">
      <c r="A27" s="11" t="inlineStr">
        <is>
          <t>Q2</t>
        </is>
      </c>
      <c r="B27" s="12" t="inlineStr">
        <is>
          <t>"Meta cumplida" si el total vendido de la zona alcanza su meta</t>
        </is>
      </c>
      <c r="C27" s="13" t="inlineStr">
        <is>
          <t>=SI(SUMAR.SI($C$2:$C$11;C2;$F$2:$F$11)&gt;=BUSCARX(C2;$H$2:$H$4;$J$2:$J$4);"Meta cumplida";"Por debajo")</t>
        </is>
      </c>
      <c r="D27" s="14" t="n"/>
    </row>
    <row r="28">
      <c r="A28" s="15" t="inlineStr">
        <is>
          <t>→ Arrastrá hasta la fila 11. Sin Excel 365: usar BUSCARV(C2;$H$2:$J$4;2;FALSO) y columna 3 para la meta.</t>
        </is>
      </c>
    </row>
    <row r="30">
      <c r="A30" s="4" t="inlineStr">
        <is>
          <t>DESAFÍO 5 — Mini-tablero gerencial (desde H7)</t>
        </is>
      </c>
    </row>
    <row r="31">
      <c r="A31" s="5" t="inlineStr">
        <is>
          <t>Celda</t>
        </is>
      </c>
      <c r="B31" s="5" t="inlineStr">
        <is>
          <t>Instrucción del cálculo</t>
        </is>
      </c>
      <c r="C31" s="5" t="inlineStr">
        <is>
          <t>Fórmula de Excel (español)</t>
        </is>
      </c>
      <c r="D31" s="6" t="n"/>
    </row>
    <row r="32" ht="30" customHeight="1">
      <c r="A32" s="7" t="inlineStr">
        <is>
          <t>I7</t>
        </is>
      </c>
      <c r="B32" s="8" t="inlineStr">
        <is>
          <t>Total facturado por la zona NORTE</t>
        </is>
      </c>
      <c r="C32" s="9" t="inlineStr">
        <is>
          <t>=SUMAR.SI(C2:C11;"NORTE";F2:F11)</t>
        </is>
      </c>
      <c r="D32" s="10" t="n"/>
    </row>
    <row r="33" ht="30" customHeight="1">
      <c r="A33" s="11" t="inlineStr">
        <is>
          <t>I8</t>
        </is>
      </c>
      <c r="B33" s="12" t="inlineStr">
        <is>
          <t>Cantidad de pedidos DEMORADOS</t>
        </is>
      </c>
      <c r="C33" s="13" t="inlineStr">
        <is>
          <t>=CONTAR.SI(N2:N11;"DEMORADO")</t>
        </is>
      </c>
      <c r="D33" s="14" t="n"/>
    </row>
    <row r="34" ht="30" customHeight="1">
      <c r="A34" s="7" t="inlineStr">
        <is>
          <t>I9</t>
        </is>
      </c>
      <c r="B34" s="8" t="inlineStr">
        <is>
          <t>Facturación promedio de María González</t>
        </is>
      </c>
      <c r="C34" s="9" t="inlineStr">
        <is>
          <t>=PROMEDIO.SI(K2:K11;"María González";F2:F11)</t>
        </is>
      </c>
      <c r="D34" s="10" t="n"/>
    </row>
    <row r="35" ht="30" customHeight="1">
      <c r="A35" s="11" t="inlineStr">
        <is>
          <t>I10</t>
        </is>
      </c>
      <c r="B35" s="12" t="inlineStr">
        <is>
          <t>El pedido más grande del mes</t>
        </is>
      </c>
      <c r="C35" s="13" t="inlineStr">
        <is>
          <t>=MAX(F2:F11)</t>
        </is>
      </c>
      <c r="D35" s="14" t="n"/>
    </row>
    <row r="36" ht="30" customHeight="1">
      <c r="A36" s="7" t="inlineStr">
        <is>
          <t>I11</t>
        </is>
      </c>
      <c r="B36" s="8" t="inlineStr">
        <is>
          <t>Total de comisiones a pagar</t>
        </is>
      </c>
      <c r="C36" s="9" t="inlineStr">
        <is>
          <t>=SUMA(O2:O11)</t>
        </is>
      </c>
      <c r="D36" s="10" t="n"/>
    </row>
    <row r="37">
      <c r="A37" s="15" t="inlineStr">
        <is>
          <t>→ Verificación: NORTE = $2.580.000 (meta cumplida); demorados = 4.</t>
        </is>
      </c>
    </row>
  </sheetData>
  <mergeCells count="25">
    <mergeCell ref="C34:D34"/>
    <mergeCell ref="A17:D17"/>
    <mergeCell ref="A22:D22"/>
    <mergeCell ref="C15:D15"/>
    <mergeCell ref="C33:D33"/>
    <mergeCell ref="C14:D14"/>
    <mergeCell ref="A28:D28"/>
    <mergeCell ref="C26:D26"/>
    <mergeCell ref="C35:D35"/>
    <mergeCell ref="C20:D20"/>
    <mergeCell ref="C10:D10"/>
    <mergeCell ref="C16:D16"/>
    <mergeCell ref="C25:D25"/>
    <mergeCell ref="A11:D11"/>
    <mergeCell ref="C9:D9"/>
    <mergeCell ref="C31:D31"/>
    <mergeCell ref="A1:D1"/>
    <mergeCell ref="C21:D21"/>
    <mergeCell ref="C27:D27"/>
    <mergeCell ref="A4:D5"/>
    <mergeCell ref="C36:D36"/>
    <mergeCell ref="C8:D8"/>
    <mergeCell ref="A37:D37"/>
    <mergeCell ref="C32:D3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9" customWidth="1" min="3" max="3"/>
    <col width="11" customWidth="1" min="4" max="4"/>
    <col width="11" customWidth="1" min="5" max="5"/>
    <col width="11" customWidth="1" min="6" max="6"/>
    <col width="14" customWidth="1" min="8" max="8"/>
    <col width="12" customWidth="1" min="9" max="9"/>
    <col width="11" customWidth="1" min="10" max="10"/>
    <col width="15" customWidth="1" min="11" max="11"/>
    <col width="5" customWidth="1" min="12" max="12"/>
    <col width="9" customWidth="1" min="13" max="13"/>
    <col width="11" customWidth="1" min="14" max="14"/>
    <col width="10" customWidth="1" min="15" max="15"/>
    <col width="12" customWidth="1" min="16" max="16"/>
    <col width="13" customWidth="1" min="17" max="17"/>
  </cols>
  <sheetData>
    <row r="1">
      <c r="A1" s="16" t="inlineStr">
        <is>
          <t>Pedido</t>
        </is>
      </c>
      <c r="B1" s="16" t="inlineStr">
        <is>
          <t>Vendedor</t>
        </is>
      </c>
      <c r="C1" s="16" t="inlineStr">
        <is>
          <t>Zona</t>
        </is>
      </c>
      <c r="D1" s="16" t="inlineStr">
        <is>
          <t>Fecha Pedido</t>
        </is>
      </c>
      <c r="E1" s="16" t="inlineStr">
        <is>
          <t>Fecha Entrega</t>
        </is>
      </c>
      <c r="F1" s="16" t="inlineStr">
        <is>
          <t>Monto</t>
        </is>
      </c>
      <c r="H1" s="16" t="inlineStr">
        <is>
          <t>Zona</t>
        </is>
      </c>
      <c r="I1" s="16" t="inlineStr">
        <is>
          <t>Supervisor</t>
        </is>
      </c>
      <c r="J1" s="16" t="inlineStr">
        <is>
          <t>Meta Zona</t>
        </is>
      </c>
      <c r="K1" s="16" t="inlineStr">
        <is>
          <t>Vendedor OK</t>
        </is>
      </c>
      <c r="L1" s="16" t="inlineStr">
        <is>
          <t>N°</t>
        </is>
      </c>
      <c r="M1" s="16" t="inlineStr">
        <is>
          <t>Días háb.</t>
        </is>
      </c>
      <c r="N1" s="16" t="inlineStr">
        <is>
          <t>Estado</t>
        </is>
      </c>
      <c r="O1" s="16" t="inlineStr">
        <is>
          <t>Comisión</t>
        </is>
      </c>
      <c r="P1" s="16" t="inlineStr">
        <is>
          <t>Supervisor</t>
        </is>
      </c>
      <c r="Q1" s="16" t="inlineStr">
        <is>
          <t>Meta</t>
        </is>
      </c>
    </row>
    <row r="2">
      <c r="A2" s="17" t="inlineStr">
        <is>
          <t>PED-2026-001</t>
        </is>
      </c>
      <c r="B2" s="17" t="inlineStr">
        <is>
          <t>maría gonzález</t>
        </is>
      </c>
      <c r="C2" s="17" t="inlineStr">
        <is>
          <t>NORTE</t>
        </is>
      </c>
      <c r="D2" s="18" t="n">
        <v>46083</v>
      </c>
      <c r="E2" s="18" t="n">
        <v>46090</v>
      </c>
      <c r="F2" s="19" t="n">
        <v>480000</v>
      </c>
      <c r="H2" s="20" t="inlineStr">
        <is>
          <t>NORTE</t>
        </is>
      </c>
      <c r="I2" s="20" t="inlineStr">
        <is>
          <t>L. Ferreyra</t>
        </is>
      </c>
      <c r="J2" s="21" t="n">
        <v>2000000</v>
      </c>
      <c r="K2" s="22">
        <f>PROPER(B2)</f>
        <v/>
      </c>
      <c r="L2" s="23">
        <f>VALUE(RIGHT(A2,3))</f>
        <v/>
      </c>
      <c r="M2" s="23">
        <f>NETWORKDAYS(D2,E2)</f>
        <v/>
      </c>
      <c r="N2" s="23">
        <f>IF(M2&gt;7,"DEMORADO","En término")</f>
        <v/>
      </c>
      <c r="O2" s="24">
        <f>_xlfn.IFS(F2&gt;=1500000,F2*5%,F2&gt;=700000,F2*3%,TRUE,F2*1.5%)*IF(N2="DEMORADO",0.5,1)</f>
        <v/>
      </c>
      <c r="P2" s="22">
        <f>_xlfn.XLOOKUP(C2,$H$2:$H$4,$I$2:$I$4,"Sin zona")</f>
        <v/>
      </c>
      <c r="Q2" s="22">
        <f>IF(SUMIF($C$2:$C$11,C2,$F$2:$F$11)&gt;=_xlfn.XLOOKUP(C2,$H$2:$H$4,$J$2:$J$4),"Meta cumplida","Por debajo")</f>
        <v/>
      </c>
    </row>
    <row r="3">
      <c r="A3" s="20" t="inlineStr">
        <is>
          <t>PED-2026-002</t>
        </is>
      </c>
      <c r="B3" s="20" t="inlineStr">
        <is>
          <t>carlos duarte</t>
        </is>
      </c>
      <c r="C3" s="20" t="inlineStr">
        <is>
          <t>SUR</t>
        </is>
      </c>
      <c r="D3" s="25" t="n">
        <v>46085</v>
      </c>
      <c r="E3" s="25" t="n">
        <v>46099</v>
      </c>
      <c r="F3" s="21" t="n">
        <v>1250000</v>
      </c>
      <c r="H3" s="20" t="inlineStr">
        <is>
          <t>SUR</t>
        </is>
      </c>
      <c r="I3" s="20" t="inlineStr">
        <is>
          <t>R. Martínez</t>
        </is>
      </c>
      <c r="J3" s="21" t="n">
        <v>3500000</v>
      </c>
      <c r="K3" s="22">
        <f>PROPER(B3)</f>
        <v/>
      </c>
      <c r="L3" s="23">
        <f>VALUE(RIGHT(A3,3))</f>
        <v/>
      </c>
      <c r="M3" s="23">
        <f>NETWORKDAYS(D3,E3)</f>
        <v/>
      </c>
      <c r="N3" s="23">
        <f>IF(M3&gt;7,"DEMORADO","En término")</f>
        <v/>
      </c>
      <c r="O3" s="24">
        <f>_xlfn.IFS(F3&gt;=1500000,F3*5%,F3&gt;=700000,F3*3%,TRUE,F3*1.5%)*IF(N3="DEMORADO",0.5,1)</f>
        <v/>
      </c>
      <c r="P3" s="22">
        <f>_xlfn.XLOOKUP(C3,$H$2:$H$4,$I$2:$I$4,"Sin zona")</f>
        <v/>
      </c>
      <c r="Q3" s="22">
        <f>IF(SUMIF($C$2:$C$11,C3,$F$2:$F$11)&gt;=_xlfn.XLOOKUP(C3,$H$2:$H$4,$J$2:$J$4),"Meta cumplida","Por debajo")</f>
        <v/>
      </c>
    </row>
    <row r="4">
      <c r="A4" s="17" t="inlineStr">
        <is>
          <t>PED-2026-003</t>
        </is>
      </c>
      <c r="B4" s="17" t="inlineStr">
        <is>
          <t>maría gonzález</t>
        </is>
      </c>
      <c r="C4" s="17" t="inlineStr">
        <is>
          <t>NORTE</t>
        </is>
      </c>
      <c r="D4" s="18" t="n">
        <v>46086</v>
      </c>
      <c r="E4" s="18" t="n">
        <v>46091</v>
      </c>
      <c r="F4" s="19" t="n">
        <v>320000</v>
      </c>
      <c r="H4" s="20" t="inlineStr">
        <is>
          <t>CENTRO</t>
        </is>
      </c>
      <c r="I4" s="20" t="inlineStr">
        <is>
          <t>S. Da Silva</t>
        </is>
      </c>
      <c r="J4" s="21" t="n">
        <v>2500000</v>
      </c>
      <c r="K4" s="22">
        <f>PROPER(B4)</f>
        <v/>
      </c>
      <c r="L4" s="23">
        <f>VALUE(RIGHT(A4,3))</f>
        <v/>
      </c>
      <c r="M4" s="23">
        <f>NETWORKDAYS(D4,E4)</f>
        <v/>
      </c>
      <c r="N4" s="23">
        <f>IF(M4&gt;7,"DEMORADO","En término")</f>
        <v/>
      </c>
      <c r="O4" s="24">
        <f>_xlfn.IFS(F4&gt;=1500000,F4*5%,F4&gt;=700000,F4*3%,TRUE,F4*1.5%)*IF(N4="DEMORADO",0.5,1)</f>
        <v/>
      </c>
      <c r="P4" s="22">
        <f>_xlfn.XLOOKUP(C4,$H$2:$H$4,$I$2:$I$4,"Sin zona")</f>
        <v/>
      </c>
      <c r="Q4" s="22">
        <f>IF(SUMIF($C$2:$C$11,C4,$F$2:$F$11)&gt;=_xlfn.XLOOKUP(C4,$H$2:$H$4,$J$2:$J$4),"Meta cumplida","Por debajo")</f>
        <v/>
      </c>
    </row>
    <row r="5">
      <c r="A5" s="20" t="inlineStr">
        <is>
          <t>PED-2026-004</t>
        </is>
      </c>
      <c r="B5" s="20" t="inlineStr">
        <is>
          <t>ana kowalski</t>
        </is>
      </c>
      <c r="C5" s="20" t="inlineStr">
        <is>
          <t>CENTRO</t>
        </is>
      </c>
      <c r="D5" s="25" t="n">
        <v>46090</v>
      </c>
      <c r="E5" s="25" t="n">
        <v>46097</v>
      </c>
      <c r="F5" s="21" t="n">
        <v>890000</v>
      </c>
      <c r="K5" s="22">
        <f>PROPER(B5)</f>
        <v/>
      </c>
      <c r="L5" s="23">
        <f>VALUE(RIGHT(A5,3))</f>
        <v/>
      </c>
      <c r="M5" s="23">
        <f>NETWORKDAYS(D5,E5)</f>
        <v/>
      </c>
      <c r="N5" s="23">
        <f>IF(M5&gt;7,"DEMORADO","En término")</f>
        <v/>
      </c>
      <c r="O5" s="24">
        <f>_xlfn.IFS(F5&gt;=1500000,F5*5%,F5&gt;=700000,F5*3%,TRUE,F5*1.5%)*IF(N5="DEMORADO",0.5,1)</f>
        <v/>
      </c>
      <c r="P5" s="22">
        <f>_xlfn.XLOOKUP(C5,$H$2:$H$4,$I$2:$I$4,"Sin zona")</f>
        <v/>
      </c>
      <c r="Q5" s="22">
        <f>IF(SUMIF($C$2:$C$11,C5,$F$2:$F$11)&gt;=_xlfn.XLOOKUP(C5,$H$2:$H$4,$J$2:$J$4),"Meta cumplida","Por debajo")</f>
        <v/>
      </c>
    </row>
    <row r="6">
      <c r="A6" s="17" t="inlineStr">
        <is>
          <t>PED-2026-005</t>
        </is>
      </c>
      <c r="B6" s="17" t="inlineStr">
        <is>
          <t>carlos duarte</t>
        </is>
      </c>
      <c r="C6" s="17" t="inlineStr">
        <is>
          <t>SUR</t>
        </is>
      </c>
      <c r="D6" s="18" t="n">
        <v>46092</v>
      </c>
      <c r="E6" s="18" t="n">
        <v>46108</v>
      </c>
      <c r="F6" s="19" t="n">
        <v>2100000</v>
      </c>
      <c r="H6" s="26" t="inlineStr">
        <is>
          <t>TABLERO GERENCIAL</t>
        </is>
      </c>
      <c r="I6" s="14" t="n"/>
      <c r="K6" s="22">
        <f>PROPER(B6)</f>
        <v/>
      </c>
      <c r="L6" s="23">
        <f>VALUE(RIGHT(A6,3))</f>
        <v/>
      </c>
      <c r="M6" s="23">
        <f>NETWORKDAYS(D6,E6)</f>
        <v/>
      </c>
      <c r="N6" s="23">
        <f>IF(M6&gt;7,"DEMORADO","En término")</f>
        <v/>
      </c>
      <c r="O6" s="24">
        <f>_xlfn.IFS(F6&gt;=1500000,F6*5%,F6&gt;=700000,F6*3%,TRUE,F6*1.5%)*IF(N6="DEMORADO",0.5,1)</f>
        <v/>
      </c>
      <c r="P6" s="22">
        <f>_xlfn.XLOOKUP(C6,$H$2:$H$4,$I$2:$I$4,"Sin zona")</f>
        <v/>
      </c>
      <c r="Q6" s="22">
        <f>IF(SUMIF($C$2:$C$11,C6,$F$2:$F$11)&gt;=_xlfn.XLOOKUP(C6,$H$2:$H$4,$J$2:$J$4),"Meta cumplida","Por debajo")</f>
        <v/>
      </c>
    </row>
    <row r="7">
      <c r="A7" s="20" t="inlineStr">
        <is>
          <t>PED-2026-006</t>
        </is>
      </c>
      <c r="B7" s="20" t="inlineStr">
        <is>
          <t>pedro benítez</t>
        </is>
      </c>
      <c r="C7" s="20" t="inlineStr">
        <is>
          <t>NORTE</t>
        </is>
      </c>
      <c r="D7" s="25" t="n">
        <v>46093</v>
      </c>
      <c r="E7" s="25" t="n">
        <v>46098</v>
      </c>
      <c r="F7" s="21" t="n">
        <v>150000</v>
      </c>
      <c r="H7" s="27" t="inlineStr">
        <is>
          <t>Total NORTE</t>
        </is>
      </c>
      <c r="I7" s="28">
        <f>SUMIF(C2:C11,"NORTE",F2:F11)</f>
        <v/>
      </c>
      <c r="K7" s="22">
        <f>PROPER(B7)</f>
        <v/>
      </c>
      <c r="L7" s="23">
        <f>VALUE(RIGHT(A7,3))</f>
        <v/>
      </c>
      <c r="M7" s="23">
        <f>NETWORKDAYS(D7,E7)</f>
        <v/>
      </c>
      <c r="N7" s="23">
        <f>IF(M7&gt;7,"DEMORADO","En término")</f>
        <v/>
      </c>
      <c r="O7" s="24">
        <f>_xlfn.IFS(F7&gt;=1500000,F7*5%,F7&gt;=700000,F7*3%,TRUE,F7*1.5%)*IF(N7="DEMORADO",0.5,1)</f>
        <v/>
      </c>
      <c r="P7" s="22">
        <f>_xlfn.XLOOKUP(C7,$H$2:$H$4,$I$2:$I$4,"Sin zona")</f>
        <v/>
      </c>
      <c r="Q7" s="22">
        <f>IF(SUMIF($C$2:$C$11,C7,$F$2:$F$11)&gt;=_xlfn.XLOOKUP(C7,$H$2:$H$4,$J$2:$J$4),"Meta cumplida","Por debajo")</f>
        <v/>
      </c>
    </row>
    <row r="8">
      <c r="A8" s="17" t="inlineStr">
        <is>
          <t>PED-2026-007</t>
        </is>
      </c>
      <c r="B8" s="17" t="inlineStr">
        <is>
          <t>ana kowalski</t>
        </is>
      </c>
      <c r="C8" s="17" t="inlineStr">
        <is>
          <t>CENTRO</t>
        </is>
      </c>
      <c r="D8" s="18" t="n">
        <v>46097</v>
      </c>
      <c r="E8" s="18" t="n">
        <v>46111</v>
      </c>
      <c r="F8" s="19" t="n">
        <v>1780000</v>
      </c>
      <c r="H8" s="27" t="inlineStr">
        <is>
          <t>Demorados</t>
        </is>
      </c>
      <c r="I8" s="29">
        <f>COUNTIF(N2:N11,"DEMORADO")</f>
        <v/>
      </c>
      <c r="K8" s="22">
        <f>PROPER(B8)</f>
        <v/>
      </c>
      <c r="L8" s="23">
        <f>VALUE(RIGHT(A8,3))</f>
        <v/>
      </c>
      <c r="M8" s="23">
        <f>NETWORKDAYS(D8,E8)</f>
        <v/>
      </c>
      <c r="N8" s="23">
        <f>IF(M8&gt;7,"DEMORADO","En término")</f>
        <v/>
      </c>
      <c r="O8" s="24">
        <f>_xlfn.IFS(F8&gt;=1500000,F8*5%,F8&gt;=700000,F8*3%,TRUE,F8*1.5%)*IF(N8="DEMORADO",0.5,1)</f>
        <v/>
      </c>
      <c r="P8" s="22">
        <f>_xlfn.XLOOKUP(C8,$H$2:$H$4,$I$2:$I$4,"Sin zona")</f>
        <v/>
      </c>
      <c r="Q8" s="22">
        <f>IF(SUMIF($C$2:$C$11,C8,$F$2:$F$11)&gt;=_xlfn.XLOOKUP(C8,$H$2:$H$4,$J$2:$J$4),"Meta cumplida","Por debajo")</f>
        <v/>
      </c>
    </row>
    <row r="9">
      <c r="A9" s="20" t="inlineStr">
        <is>
          <t>PED-2026-008</t>
        </is>
      </c>
      <c r="B9" s="20" t="inlineStr">
        <is>
          <t>maría gonzález</t>
        </is>
      </c>
      <c r="C9" s="20" t="inlineStr">
        <is>
          <t>NORTE</t>
        </is>
      </c>
      <c r="D9" s="25" t="n">
        <v>46099</v>
      </c>
      <c r="E9" s="25" t="n">
        <v>46104</v>
      </c>
      <c r="F9" s="21" t="n">
        <v>640000</v>
      </c>
      <c r="H9" s="27" t="inlineStr">
        <is>
          <t>Prom. M. González</t>
        </is>
      </c>
      <c r="I9" s="28">
        <f>AVERAGEIF(K2:K11,"María González",F2:F11)</f>
        <v/>
      </c>
      <c r="K9" s="22">
        <f>PROPER(B9)</f>
        <v/>
      </c>
      <c r="L9" s="23">
        <f>VALUE(RIGHT(A9,3))</f>
        <v/>
      </c>
      <c r="M9" s="23">
        <f>NETWORKDAYS(D9,E9)</f>
        <v/>
      </c>
      <c r="N9" s="23">
        <f>IF(M9&gt;7,"DEMORADO","En término")</f>
        <v/>
      </c>
      <c r="O9" s="24">
        <f>_xlfn.IFS(F9&gt;=1500000,F9*5%,F9&gt;=700000,F9*3%,TRUE,F9*1.5%)*IF(N9="DEMORADO",0.5,1)</f>
        <v/>
      </c>
      <c r="P9" s="22">
        <f>_xlfn.XLOOKUP(C9,$H$2:$H$4,$I$2:$I$4,"Sin zona")</f>
        <v/>
      </c>
      <c r="Q9" s="22">
        <f>IF(SUMIF($C$2:$C$11,C9,$F$2:$F$11)&gt;=_xlfn.XLOOKUP(C9,$H$2:$H$4,$J$2:$J$4),"Meta cumplida","Por debajo")</f>
        <v/>
      </c>
    </row>
    <row r="10">
      <c r="A10" s="17" t="inlineStr">
        <is>
          <t>PED-2026-009</t>
        </is>
      </c>
      <c r="B10" s="17" t="inlineStr">
        <is>
          <t>pedro benítez</t>
        </is>
      </c>
      <c r="C10" s="17" t="inlineStr">
        <is>
          <t>NORTE</t>
        </is>
      </c>
      <c r="D10" s="18" t="n">
        <v>46101</v>
      </c>
      <c r="E10" s="18" t="n">
        <v>46118</v>
      </c>
      <c r="F10" s="19" t="n">
        <v>990000</v>
      </c>
      <c r="H10" s="27" t="inlineStr">
        <is>
          <t>Pedido máximo</t>
        </is>
      </c>
      <c r="I10" s="28">
        <f>MAX(F2:F11)</f>
        <v/>
      </c>
      <c r="K10" s="22">
        <f>PROPER(B10)</f>
        <v/>
      </c>
      <c r="L10" s="23">
        <f>VALUE(RIGHT(A10,3))</f>
        <v/>
      </c>
      <c r="M10" s="23">
        <f>NETWORKDAYS(D10,E10)</f>
        <v/>
      </c>
      <c r="N10" s="23">
        <f>IF(M10&gt;7,"DEMORADO","En término")</f>
        <v/>
      </c>
      <c r="O10" s="24">
        <f>_xlfn.IFS(F10&gt;=1500000,F10*5%,F10&gt;=700000,F10*3%,TRUE,F10*1.5%)*IF(N10="DEMORADO",0.5,1)</f>
        <v/>
      </c>
      <c r="P10" s="22">
        <f>_xlfn.XLOOKUP(C10,$H$2:$H$4,$I$2:$I$4,"Sin zona")</f>
        <v/>
      </c>
      <c r="Q10" s="22">
        <f>IF(SUMIF($C$2:$C$11,C10,$F$2:$F$11)&gt;=_xlfn.XLOOKUP(C10,$H$2:$H$4,$J$2:$J$4),"Meta cumplida","Por debajo")</f>
        <v/>
      </c>
    </row>
    <row r="11">
      <c r="A11" s="20" t="inlineStr">
        <is>
          <t>PED-2026-010</t>
        </is>
      </c>
      <c r="B11" s="20" t="inlineStr">
        <is>
          <t>carlos duarte</t>
        </is>
      </c>
      <c r="C11" s="20" t="inlineStr">
        <is>
          <t>SUR</t>
        </is>
      </c>
      <c r="D11" s="25" t="n">
        <v>46104</v>
      </c>
      <c r="E11" s="25" t="n">
        <v>46111</v>
      </c>
      <c r="F11" s="21" t="n">
        <v>560000</v>
      </c>
      <c r="H11" s="27" t="inlineStr">
        <is>
          <t>Total comisiones</t>
        </is>
      </c>
      <c r="I11" s="28">
        <f>SUM(O2:O11)</f>
        <v/>
      </c>
      <c r="K11" s="22">
        <f>PROPER(B11)</f>
        <v/>
      </c>
      <c r="L11" s="23">
        <f>VALUE(RIGHT(A11,3))</f>
        <v/>
      </c>
      <c r="M11" s="23">
        <f>NETWORKDAYS(D11,E11)</f>
        <v/>
      </c>
      <c r="N11" s="23">
        <f>IF(M11&gt;7,"DEMORADO","En término")</f>
        <v/>
      </c>
      <c r="O11" s="24">
        <f>_xlfn.IFS(F11&gt;=1500000,F11*5%,F11&gt;=700000,F11*3%,TRUE,F11*1.5%)*IF(N11="DEMORADO",0.5,1)</f>
        <v/>
      </c>
      <c r="P11" s="22">
        <f>_xlfn.XLOOKUP(C11,$H$2:$H$4,$I$2:$I$4,"Sin zona")</f>
        <v/>
      </c>
      <c r="Q11" s="22">
        <f>IF(SUMIF($C$2:$C$11,C11,$F$2:$F$11)&gt;=_xlfn.XLOOKUP(C11,$H$2:$H$4,$J$2:$J$4),"Meta cumplida","Por debajo")</f>
        <v/>
      </c>
    </row>
  </sheetData>
  <mergeCells count="1">
    <mergeCell ref="H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2026-07-03T03:31:08Z</dcterms:created>
  <dcterms:modified xmlns:dcterms="http://purl.org/dc/terms/" xmlns:xsi="http://www.w3.org/2001/XMLSchema-instance" xsi:type="dcterms:W3CDTF">2026-07-03T03:31:08Z</dcterms:modified>
</cp:coreProperties>
</file>