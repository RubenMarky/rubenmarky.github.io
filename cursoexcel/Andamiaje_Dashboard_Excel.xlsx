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Datos_Mensual" sheetId="2" state="visible" r:id="rId4"/>
    <sheet name="Datos_Ventas" sheetId="3" state="visible" r:id="rId5"/>
    <sheet name="Productos" sheetId="4" state="visible" r:id="rId6"/>
    <sheet name="Sparkline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<sst xmlns="http://schemas.openxmlformats.org/spreadsheetml/2006/main" count="183" uniqueCount="76">
  <si>
    <t xml:space="preserve">Andamiaje para Dashboard ejecutivo — Tierra Colorada S.A.</t>
  </si>
  <si>
    <t xml:space="preserve">Prof. Rubén Markwart — E.P.E.T. N°7 (EPJA) — Los datos y fórmulas van listos; los gráficos, TDs y segmentadores se construyen a mano: esa es la práctica.</t>
  </si>
  <si>
    <t xml:space="preserve">Hoja</t>
  </si>
  <si>
    <t xml:space="preserve">Sirve para</t>
  </si>
  <si>
    <t xml:space="preserve">Datos_Mensual</t>
  </si>
  <si>
    <t xml:space="preserve">Ejercicios 1 y 2: la columna % Avance ya está calculada para las barras de datos, e Ingresos + Margen % listos para el gráfico combinado.</t>
  </si>
  <si>
    <t xml:space="preserve">Datos_Ventas</t>
  </si>
  <si>
    <t xml:space="preserve">Ejercicio 3: tabla plana de 36 registros (mes × zona × vendedor). Creá acá 2-3 tablas dinámicas en una hoja nueva "TDs" y conectales segmentadores.</t>
  </si>
  <si>
    <t xml:space="preserve">Productos</t>
  </si>
  <si>
    <t xml:space="preserve">Ejercicio 4: Unidades (X), Precio (Y) y Facturación (tamaño de burbuja) listos. Seleccioná solo las 3 columnas numéricas.</t>
  </si>
  <si>
    <t xml:space="preserve">Sparklines</t>
  </si>
  <si>
    <t xml:space="preserve">Ejercicio 5: matriz vendedores × 12 meses. La columna "Tendencia" está vacía a propósito: ahí insertás los minigráficos.</t>
  </si>
  <si>
    <t xml:space="preserve">Dashboard</t>
  </si>
  <si>
    <t xml:space="preserve">Ejercicio 6: la tarjeta KPI 1 va resuelta como modelo (fórmulas ▲/▼ incluidas; el color condicional lo aplicás vos). Las tarjetas 2 y 3 están vacías para practicar. Después traé acá los gráficos y segmentadores.</t>
  </si>
  <si>
    <t xml:space="preserve">Mes</t>
  </si>
  <si>
    <t xml:space="preserve">Ingresos</t>
  </si>
  <si>
    <t xml:space="preserve">Costo</t>
  </si>
  <si>
    <t xml:space="preserve">Margen %</t>
  </si>
  <si>
    <t xml:space="preserve">Meta</t>
  </si>
  <si>
    <t xml:space="preserve">% Avance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</si>
  <si>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</si>
  <si>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</si>
  <si>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</si>
  <si>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</si>
  <si>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</si>
  <si>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</si>
  <si>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</si>
  <si>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</si>
  <si>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</si>
  <si>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</si>
  <si>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</si>
  <si>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</si>
  <si>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Umbral dinámico para barras (1 = meta):</t>
  </si>
  <si>
    <t xml:space="preserve">Zona</t>
  </si>
  <si>
    <t xml:space="preserve">Vendedor</t>
  </si>
  <si>
    <t xml:space="preserve">Monto</t>
  </si>
  <si>
    <t xml:space="preserve">NORTE</t>
  </si>
  <si>
    <t xml:space="preserve">María González</t>
  </si>
  <si>
    <t xml:space="preserve">SUR</t>
  </si>
  <si>
    <t xml:space="preserve">Carlos Duarte</t>
  </si>
  <si>
    <t xml:space="preserve">CENTRO</t>
  </si>
  <si>
    <t xml:space="preserve">Ana Da Silva</t>
  </si>
  <si>
    <t xml:space="preserve">Producto</t>
  </si>
  <si>
    <t xml:space="preserve">Unidades</t>
  </si>
  <si>
    <t xml:space="preserve">Precio</t>
  </si>
  <si>
    <t xml:space="preserve">Facturación</t>
  </si>
  <si>
    <t xml:space="preserve">Tóner HP 85A</t>
  </si>
  <si>
    <t xml:space="preserve">Resma A4</t>
  </si>
  <si>
    <t xml:space="preserve">Mouse inalámbrico</t>
  </si>
  <si>
    <t xml:space="preserve">Teclado USB</t>
  </si>
  <si>
    <t xml:space="preserve">Cable HDMI 2m</t>
  </si>
  <si>
    <t xml:space="preserve">Cable de red 5m</t>
  </si>
  <si>
    <t xml:space="preserve">Monitor 24"</t>
  </si>
  <si>
    <t xml:space="preserve">Notebook i5</t>
  </si>
  <si>
    <t xml:space="preserve">Impresora láser</t>
  </si>
  <si>
    <t xml:space="preserve">Disco SSD 480GB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</si>
  <si>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</si>
  <si>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</si>
  <si>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</si>
  <si>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</si>
  <si>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</si>
  <si>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</si>
  <si>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</si>
  <si>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</si>
  <si>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</si>
  <si>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</si>
  <si>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</si>
  <si>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</si>
  <si>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Tendencia →</t>
  </si>
  <si>
    <t xml:space="preserve">Pedro Benítez</t>
  </si>
  <si>
    <t xml:space="preserve">Valores en miles de $. Insertá los minigráficos en la columna N (Insertar → Minigráficos → Línea).</t>
  </si>
  <si>
    <t xml:space="preserve">DASHBOARD COMERCIAL — TIERRA COLORADA S.A.</t>
  </si>
  <si>
    <t xml:space="preserve">VENTAS DICIEMBRE</t>
  </si>
  <si>
    <t xml:space="preserve">VENTAS ACUMULADAS (practicá acá)</t>
  </si>
  <si>
    <t xml:space="preserve">MARGEN PROMEDIO (practicá acá)</t>
  </si>
  <si>
    <t xml:space="preserve">Tarjeta 1: modelo resuelto — solo falta el formato condicional del color (regla "contiene ▲" → verde; "contiene ▼" → rojo). Tarjetas 2 y 3: escribí vos las fórmulas (=SUMA de Datos_Mensual!B2:B13 y =PROMEDIO de Margen %). Debajo de esta zona pegá el gráfico combinado, las burbujas y los segmentadores.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</si>
</sst>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$ &quot;#,##0"/>
    <numFmt numFmtId="166" formatCode="0.0%"/>
    <numFmt numFmtId="167" formatCode="0%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2F6B4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2F6B4F"/>
      <name val="Arial"/>
      <family val="0"/>
      <charset val="1"/>
    </font>
    <font>
      <b val="true"/>
      <sz val="9"/>
      <color rgb="FF777777"/>
      <name val="Arial"/>
      <family val="0"/>
      <charset val="1"/>
    </font>
    <font>
      <b val="true"/>
      <sz val="28"/>
      <color rgb="FF2F6B4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FFFFF"/>
      </patternFill>
    </fill>
    <fill>
      <patternFill patternType="solid">
        <fgColor rgb="FFFFFFFF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777777"/>
      <rgbColor rgb="FF9999FF"/>
      <rgbColor rgb="FF993366"/>
      <rgbColor rgb="FFE8F1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2" customFormat="false" ht="22.3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2" hidden="false" customHeight="true" outlineLevel="0" collapsed="false">
      <c r="A5" s="4" t="s">
        <v>4</v>
      </c>
      <c r="B5" s="5" t="s">
        <v>5</v>
      </c>
    </row>
    <row r="6" customFormat="false" ht="42" hidden="false" customHeight="true" outlineLevel="0" collapsed="false">
      <c r="A6" s="4" t="s">
        <v>6</v>
      </c>
      <c r="B6" s="5" t="s">
        <v>7</v>
      </c>
    </row>
    <row r="7" customFormat="false" ht="42" hidden="false" customHeight="true" outlineLevel="0" collapsed="false">
      <c r="A7" s="4" t="s">
        <v>8</v>
      </c>
      <c r="B7" s="5" t="s">
        <v>9</v>
      </c>
    </row>
    <row r="8" customFormat="false" ht="42" hidden="false" customHeight="true" outlineLevel="0" collapsed="false">
      <c r="A8" s="4" t="s">
        <v>10</v>
      </c>
      <c r="B8" s="5" t="s">
        <v>11</v>
      </c>
    </row>
    <row r="9" customFormat="false" ht="42" hidden="false" customHeight="true" outlineLevel="0" collapsed="false">
      <c r="A9" s="4" t="s">
        <v>12</v>
      </c>
      <c r="B9" s="5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customFormat="false" ht="15" hidden="false" customHeight="false" outlineLevel="0" collapsed="false">
      <c r="A2" s="6" t="s">
        <v>20</v>
      </c>
      <c r="B2" s="7" t="n">
        <v>4200000</v>
      </c>
      <c r="C2" s="7" t="n">
        <v>2688000</v>
      </c>
      <c r="D2" s="8" t="n">
        <f aca="false">1-C2/B2</f>
        <v>0.36</v>
      </c>
      <c r="E2" s="7" t="n">
        <v>4500000</v>
      </c>
      <c r="F2" s="9" t="n">
        <f aca="false">B2/E2</f>
        <v>0.933333333333333</v>
      </c>
    </row>
    <row r="3" customFormat="false" ht="15" hidden="false" customHeight="false" outlineLevel="0" collapsed="false">
      <c r="A3" s="10" t="s">
        <v>21</v>
      </c>
      <c r="B3" s="11" t="n">
        <v>4600000</v>
      </c>
      <c r="C3" s="11" t="n">
        <v>2990000</v>
      </c>
      <c r="D3" s="12" t="n">
        <f aca="false">1-C3/B3</f>
        <v>0.35</v>
      </c>
      <c r="E3" s="11" t="n">
        <v>4850000</v>
      </c>
      <c r="F3" s="13" t="n">
        <f aca="false">B3/E3</f>
        <v>0.948453608247423</v>
      </c>
    </row>
    <row r="4" customFormat="false" ht="15" hidden="false" customHeight="false" outlineLevel="0" collapsed="false">
      <c r="A4" s="6" t="s">
        <v>22</v>
      </c>
      <c r="B4" s="7" t="n">
        <v>5100000</v>
      </c>
      <c r="C4" s="7" t="n">
        <v>3417000</v>
      </c>
      <c r="D4" s="8" t="n">
        <f aca="false">1-C4/B4</f>
        <v>0.33</v>
      </c>
      <c r="E4" s="7" t="n">
        <v>5200000</v>
      </c>
      <c r="F4" s="9" t="n">
        <f aca="false">B4/E4</f>
        <v>0.980769230769231</v>
      </c>
    </row>
    <row r="5" customFormat="false" ht="15" hidden="false" customHeight="false" outlineLevel="0" collapsed="false">
      <c r="A5" s="10" t="s">
        <v>23</v>
      </c>
      <c r="B5" s="11" t="n">
        <v>4900000</v>
      </c>
      <c r="C5" s="11" t="n">
        <v>3234000</v>
      </c>
      <c r="D5" s="12" t="n">
        <f aca="false">1-C5/B5</f>
        <v>0.34</v>
      </c>
      <c r="E5" s="11" t="n">
        <v>5550000</v>
      </c>
      <c r="F5" s="13" t="n">
        <f aca="false">B5/E5</f>
        <v>0.882882882882883</v>
      </c>
    </row>
    <row r="6" customFormat="false" ht="15" hidden="false" customHeight="false" outlineLevel="0" collapsed="false">
      <c r="A6" s="6" t="s">
        <v>24</v>
      </c>
      <c r="B6" s="7" t="n">
        <v>5600000</v>
      </c>
      <c r="C6" s="7" t="n">
        <v>3864000</v>
      </c>
      <c r="D6" s="8" t="n">
        <f aca="false">1-C6/B6</f>
        <v>0.31</v>
      </c>
      <c r="E6" s="7" t="n">
        <v>5900000</v>
      </c>
      <c r="F6" s="9" t="n">
        <f aca="false">B6/E6</f>
        <v>0.949152542372881</v>
      </c>
    </row>
    <row r="7" customFormat="false" ht="15" hidden="false" customHeight="false" outlineLevel="0" collapsed="false">
      <c r="A7" s="10" t="s">
        <v>25</v>
      </c>
      <c r="B7" s="11" t="n">
        <v>6300000</v>
      </c>
      <c r="C7" s="11" t="n">
        <v>4536000</v>
      </c>
      <c r="D7" s="12" t="n">
        <f aca="false">1-C7/B7</f>
        <v>0.28</v>
      </c>
      <c r="E7" s="11" t="n">
        <v>6250000</v>
      </c>
      <c r="F7" s="13" t="n">
        <f aca="false">B7/E7</f>
        <v>1.008</v>
      </c>
    </row>
    <row r="8" customFormat="false" ht="15" hidden="false" customHeight="false" outlineLevel="0" collapsed="false">
      <c r="A8" s="6" t="s">
        <v>26</v>
      </c>
      <c r="B8" s="7" t="n">
        <v>7100000</v>
      </c>
      <c r="C8" s="7" t="n">
        <v>5396000</v>
      </c>
      <c r="D8" s="8" t="n">
        <f aca="false">1-C8/B8</f>
        <v>0.24</v>
      </c>
      <c r="E8" s="7" t="n">
        <v>6600000</v>
      </c>
      <c r="F8" s="9" t="n">
        <f aca="false">B8/E8</f>
        <v>1.07575757575758</v>
      </c>
    </row>
    <row r="9" customFormat="false" ht="15" hidden="false" customHeight="false" outlineLevel="0" collapsed="false">
      <c r="A9" s="10" t="s">
        <v>27</v>
      </c>
      <c r="B9" s="11" t="n">
        <v>6800000</v>
      </c>
      <c r="C9" s="11" t="n">
        <v>5032000</v>
      </c>
      <c r="D9" s="12" t="n">
        <f aca="false">1-C9/B9</f>
        <v>0.26</v>
      </c>
      <c r="E9" s="11" t="n">
        <v>6950000</v>
      </c>
      <c r="F9" s="13" t="n">
        <f aca="false">B9/E9</f>
        <v>0.97841726618705</v>
      </c>
    </row>
    <row r="10" customFormat="false" ht="15" hidden="false" customHeight="false" outlineLevel="0" collapsed="false">
      <c r="A10" s="6" t="s">
        <v>28</v>
      </c>
      <c r="B10" s="7" t="n">
        <v>7400000</v>
      </c>
      <c r="C10" s="7" t="n">
        <v>5550000</v>
      </c>
      <c r="D10" s="8" t="n">
        <f aca="false">1-C10/B10</f>
        <v>0.25</v>
      </c>
      <c r="E10" s="7" t="n">
        <v>7300000</v>
      </c>
      <c r="F10" s="9" t="n">
        <f aca="false">B10/E10</f>
        <v>1.01369863013699</v>
      </c>
    </row>
    <row r="11" customFormat="false" ht="15" hidden="false" customHeight="false" outlineLevel="0" collapsed="false">
      <c r="A11" s="10" t="s">
        <v>29</v>
      </c>
      <c r="B11" s="11" t="n">
        <v>8200000</v>
      </c>
      <c r="C11" s="11" t="n">
        <v>6396000</v>
      </c>
      <c r="D11" s="12" t="n">
        <f aca="false">1-C11/B11</f>
        <v>0.22</v>
      </c>
      <c r="E11" s="11" t="n">
        <v>7650000</v>
      </c>
      <c r="F11" s="13" t="n">
        <f aca="false">B11/E11</f>
        <v>1.0718954248366</v>
      </c>
    </row>
    <row r="12" customFormat="false" ht="15" hidden="false" customHeight="false" outlineLevel="0" collapsed="false">
      <c r="A12" s="6" t="s">
        <v>30</v>
      </c>
      <c r="B12" s="7" t="n">
        <v>7900000</v>
      </c>
      <c r="C12" s="7" t="n">
        <v>6083000</v>
      </c>
      <c r="D12" s="8" t="n">
        <f aca="false">1-C12/B12</f>
        <v>0.23</v>
      </c>
      <c r="E12" s="7" t="n">
        <v>8000000</v>
      </c>
      <c r="F12" s="9" t="n">
        <f aca="false">B12/E12</f>
        <v>0.9875</v>
      </c>
    </row>
    <row r="13" customFormat="false" ht="15" hidden="false" customHeight="false" outlineLevel="0" collapsed="false">
      <c r="A13" s="10" t="s">
        <v>31</v>
      </c>
      <c r="B13" s="11" t="n">
        <v>8800000</v>
      </c>
      <c r="C13" s="11" t="n">
        <v>6952000</v>
      </c>
      <c r="D13" s="12" t="n">
        <f aca="false">1-C13/B13</f>
        <v>0.21</v>
      </c>
      <c r="E13" s="11" t="n">
        <v>8350000</v>
      </c>
      <c r="F13" s="13" t="n">
        <f aca="false">B13/E13</f>
        <v>1.05389221556886</v>
      </c>
    </row>
    <row r="15" customFormat="false" ht="15" hidden="false" customHeight="false" outlineLevel="0" collapsed="false">
      <c r="A15" s="14" t="s">
        <v>32</v>
      </c>
      <c r="F15" s="1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14</v>
      </c>
      <c r="B1" s="3" t="s">
        <v>33</v>
      </c>
      <c r="C1" s="3" t="s">
        <v>34</v>
      </c>
      <c r="D1" s="3" t="s">
        <v>35</v>
      </c>
    </row>
    <row r="2" customFormat="false" ht="15" hidden="false" customHeight="false" outlineLevel="0" collapsed="false">
      <c r="A2" s="10" t="s">
        <v>20</v>
      </c>
      <c r="B2" s="10" t="s">
        <v>36</v>
      </c>
      <c r="C2" s="10" t="s">
        <v>37</v>
      </c>
      <c r="D2" s="11" t="n">
        <v>1621000</v>
      </c>
    </row>
    <row r="3" customFormat="false" ht="15" hidden="false" customHeight="false" outlineLevel="0" collapsed="false">
      <c r="A3" s="10" t="s">
        <v>20</v>
      </c>
      <c r="B3" s="10" t="s">
        <v>38</v>
      </c>
      <c r="C3" s="10" t="s">
        <v>39</v>
      </c>
      <c r="D3" s="11" t="n">
        <v>1367000</v>
      </c>
    </row>
    <row r="4" customFormat="false" ht="15" hidden="false" customHeight="false" outlineLevel="0" collapsed="false">
      <c r="A4" s="10" t="s">
        <v>20</v>
      </c>
      <c r="B4" s="10" t="s">
        <v>40</v>
      </c>
      <c r="C4" s="10" t="s">
        <v>41</v>
      </c>
      <c r="D4" s="11" t="n">
        <v>1082000</v>
      </c>
    </row>
    <row r="5" customFormat="false" ht="15" hidden="false" customHeight="false" outlineLevel="0" collapsed="false">
      <c r="A5" s="10" t="s">
        <v>21</v>
      </c>
      <c r="B5" s="10" t="s">
        <v>36</v>
      </c>
      <c r="C5" s="10" t="s">
        <v>37</v>
      </c>
      <c r="D5" s="11" t="n">
        <v>1683000</v>
      </c>
    </row>
    <row r="6" customFormat="false" ht="15" hidden="false" customHeight="false" outlineLevel="0" collapsed="false">
      <c r="A6" s="10" t="s">
        <v>21</v>
      </c>
      <c r="B6" s="10" t="s">
        <v>38</v>
      </c>
      <c r="C6" s="10" t="s">
        <v>39</v>
      </c>
      <c r="D6" s="11" t="n">
        <v>1622000</v>
      </c>
    </row>
    <row r="7" customFormat="false" ht="15" hidden="false" customHeight="false" outlineLevel="0" collapsed="false">
      <c r="A7" s="10" t="s">
        <v>21</v>
      </c>
      <c r="B7" s="10" t="s">
        <v>40</v>
      </c>
      <c r="C7" s="10" t="s">
        <v>41</v>
      </c>
      <c r="D7" s="11" t="n">
        <v>1119000</v>
      </c>
    </row>
    <row r="8" customFormat="false" ht="15" hidden="false" customHeight="false" outlineLevel="0" collapsed="false">
      <c r="A8" s="10" t="s">
        <v>22</v>
      </c>
      <c r="B8" s="10" t="s">
        <v>36</v>
      </c>
      <c r="C8" s="10" t="s">
        <v>37</v>
      </c>
      <c r="D8" s="11" t="n">
        <v>1860000</v>
      </c>
    </row>
    <row r="9" customFormat="false" ht="15" hidden="false" customHeight="false" outlineLevel="0" collapsed="false">
      <c r="A9" s="10" t="s">
        <v>22</v>
      </c>
      <c r="B9" s="10" t="s">
        <v>38</v>
      </c>
      <c r="C9" s="10" t="s">
        <v>39</v>
      </c>
      <c r="D9" s="11" t="n">
        <v>1788000</v>
      </c>
    </row>
    <row r="10" customFormat="false" ht="15" hidden="false" customHeight="false" outlineLevel="0" collapsed="false">
      <c r="A10" s="10" t="s">
        <v>22</v>
      </c>
      <c r="B10" s="10" t="s">
        <v>40</v>
      </c>
      <c r="C10" s="10" t="s">
        <v>41</v>
      </c>
      <c r="D10" s="11" t="n">
        <v>1157000</v>
      </c>
    </row>
    <row r="11" customFormat="false" ht="15" hidden="false" customHeight="false" outlineLevel="0" collapsed="false">
      <c r="A11" s="10" t="s">
        <v>23</v>
      </c>
      <c r="B11" s="10" t="s">
        <v>36</v>
      </c>
      <c r="C11" s="10" t="s">
        <v>37</v>
      </c>
      <c r="D11" s="11" t="n">
        <v>1934000</v>
      </c>
    </row>
    <row r="12" customFormat="false" ht="15" hidden="false" customHeight="false" outlineLevel="0" collapsed="false">
      <c r="A12" s="10" t="s">
        <v>23</v>
      </c>
      <c r="B12" s="10" t="s">
        <v>38</v>
      </c>
      <c r="C12" s="10" t="s">
        <v>39</v>
      </c>
      <c r="D12" s="11" t="n">
        <v>1567000</v>
      </c>
    </row>
    <row r="13" customFormat="false" ht="15" hidden="false" customHeight="false" outlineLevel="0" collapsed="false">
      <c r="A13" s="10" t="s">
        <v>23</v>
      </c>
      <c r="B13" s="10" t="s">
        <v>40</v>
      </c>
      <c r="C13" s="10" t="s">
        <v>41</v>
      </c>
      <c r="D13" s="11" t="n">
        <v>1125000</v>
      </c>
    </row>
    <row r="14" customFormat="false" ht="15" hidden="false" customHeight="false" outlineLevel="0" collapsed="false">
      <c r="A14" s="10" t="s">
        <v>24</v>
      </c>
      <c r="B14" s="10" t="s">
        <v>36</v>
      </c>
      <c r="C14" s="10" t="s">
        <v>37</v>
      </c>
      <c r="D14" s="11" t="n">
        <v>2206000</v>
      </c>
    </row>
    <row r="15" customFormat="false" ht="15" hidden="false" customHeight="false" outlineLevel="0" collapsed="false">
      <c r="A15" s="10" t="s">
        <v>24</v>
      </c>
      <c r="B15" s="10" t="s">
        <v>38</v>
      </c>
      <c r="C15" s="10" t="s">
        <v>39</v>
      </c>
      <c r="D15" s="11" t="n">
        <v>2088000</v>
      </c>
    </row>
    <row r="16" customFormat="false" ht="15" hidden="false" customHeight="false" outlineLevel="0" collapsed="false">
      <c r="A16" s="10" t="s">
        <v>24</v>
      </c>
      <c r="B16" s="10" t="s">
        <v>40</v>
      </c>
      <c r="C16" s="10" t="s">
        <v>41</v>
      </c>
      <c r="D16" s="11" t="n">
        <v>1295000</v>
      </c>
    </row>
    <row r="17" customFormat="false" ht="15" hidden="false" customHeight="false" outlineLevel="0" collapsed="false">
      <c r="A17" s="10" t="s">
        <v>25</v>
      </c>
      <c r="B17" s="10" t="s">
        <v>36</v>
      </c>
      <c r="C17" s="10" t="s">
        <v>37</v>
      </c>
      <c r="D17" s="11" t="n">
        <v>2381000</v>
      </c>
    </row>
    <row r="18" customFormat="false" ht="15" hidden="false" customHeight="false" outlineLevel="0" collapsed="false">
      <c r="A18" s="10" t="s">
        <v>25</v>
      </c>
      <c r="B18" s="10" t="s">
        <v>38</v>
      </c>
      <c r="C18" s="10" t="s">
        <v>39</v>
      </c>
      <c r="D18" s="11" t="n">
        <v>2261000</v>
      </c>
    </row>
    <row r="19" customFormat="false" ht="15" hidden="false" customHeight="false" outlineLevel="0" collapsed="false">
      <c r="A19" s="10" t="s">
        <v>25</v>
      </c>
      <c r="B19" s="10" t="s">
        <v>40</v>
      </c>
      <c r="C19" s="10" t="s">
        <v>41</v>
      </c>
      <c r="D19" s="11" t="n">
        <v>1716000</v>
      </c>
    </row>
    <row r="20" customFormat="false" ht="15" hidden="false" customHeight="false" outlineLevel="0" collapsed="false">
      <c r="A20" s="10" t="s">
        <v>26</v>
      </c>
      <c r="B20" s="10" t="s">
        <v>36</v>
      </c>
      <c r="C20" s="10" t="s">
        <v>37</v>
      </c>
      <c r="D20" s="11" t="n">
        <v>2884000</v>
      </c>
    </row>
    <row r="21" customFormat="false" ht="15" hidden="false" customHeight="false" outlineLevel="0" collapsed="false">
      <c r="A21" s="10" t="s">
        <v>26</v>
      </c>
      <c r="B21" s="10" t="s">
        <v>38</v>
      </c>
      <c r="C21" s="10" t="s">
        <v>39</v>
      </c>
      <c r="D21" s="11" t="n">
        <v>2434000</v>
      </c>
    </row>
    <row r="22" customFormat="false" ht="15" hidden="false" customHeight="false" outlineLevel="0" collapsed="false">
      <c r="A22" s="10" t="s">
        <v>26</v>
      </c>
      <c r="B22" s="10" t="s">
        <v>40</v>
      </c>
      <c r="C22" s="10" t="s">
        <v>41</v>
      </c>
      <c r="D22" s="11" t="n">
        <v>1944000</v>
      </c>
    </row>
    <row r="23" customFormat="false" ht="15" hidden="false" customHeight="false" outlineLevel="0" collapsed="false">
      <c r="A23" s="10" t="s">
        <v>27</v>
      </c>
      <c r="B23" s="10" t="s">
        <v>36</v>
      </c>
      <c r="C23" s="10" t="s">
        <v>37</v>
      </c>
      <c r="D23" s="11" t="n">
        <v>2473000</v>
      </c>
    </row>
    <row r="24" customFormat="false" ht="15" hidden="false" customHeight="false" outlineLevel="0" collapsed="false">
      <c r="A24" s="10" t="s">
        <v>27</v>
      </c>
      <c r="B24" s="10" t="s">
        <v>38</v>
      </c>
      <c r="C24" s="10" t="s">
        <v>39</v>
      </c>
      <c r="D24" s="11" t="n">
        <v>2551000</v>
      </c>
    </row>
    <row r="25" customFormat="false" ht="15" hidden="false" customHeight="false" outlineLevel="0" collapsed="false">
      <c r="A25" s="10" t="s">
        <v>27</v>
      </c>
      <c r="B25" s="10" t="s">
        <v>40</v>
      </c>
      <c r="C25" s="10" t="s">
        <v>41</v>
      </c>
      <c r="D25" s="11" t="n">
        <v>1628000</v>
      </c>
    </row>
    <row r="26" customFormat="false" ht="15" hidden="false" customHeight="false" outlineLevel="0" collapsed="false">
      <c r="A26" s="10" t="s">
        <v>28</v>
      </c>
      <c r="B26" s="10" t="s">
        <v>36</v>
      </c>
      <c r="C26" s="10" t="s">
        <v>37</v>
      </c>
      <c r="D26" s="11" t="n">
        <v>2749000</v>
      </c>
    </row>
    <row r="27" customFormat="false" ht="15" hidden="false" customHeight="false" outlineLevel="0" collapsed="false">
      <c r="A27" s="10" t="s">
        <v>28</v>
      </c>
      <c r="B27" s="10" t="s">
        <v>38</v>
      </c>
      <c r="C27" s="10" t="s">
        <v>39</v>
      </c>
      <c r="D27" s="11" t="n">
        <v>2392000</v>
      </c>
    </row>
    <row r="28" customFormat="false" ht="15" hidden="false" customHeight="false" outlineLevel="0" collapsed="false">
      <c r="A28" s="10" t="s">
        <v>28</v>
      </c>
      <c r="B28" s="10" t="s">
        <v>40</v>
      </c>
      <c r="C28" s="10" t="s">
        <v>41</v>
      </c>
      <c r="D28" s="11" t="n">
        <v>1779000</v>
      </c>
    </row>
    <row r="29" customFormat="false" ht="15" hidden="false" customHeight="false" outlineLevel="0" collapsed="false">
      <c r="A29" s="10" t="s">
        <v>29</v>
      </c>
      <c r="B29" s="10" t="s">
        <v>36</v>
      </c>
      <c r="C29" s="10" t="s">
        <v>37</v>
      </c>
      <c r="D29" s="11" t="n">
        <v>3487000</v>
      </c>
    </row>
    <row r="30" customFormat="false" ht="15" hidden="false" customHeight="false" outlineLevel="0" collapsed="false">
      <c r="A30" s="10" t="s">
        <v>29</v>
      </c>
      <c r="B30" s="10" t="s">
        <v>38</v>
      </c>
      <c r="C30" s="10" t="s">
        <v>39</v>
      </c>
      <c r="D30" s="11" t="n">
        <v>2687000</v>
      </c>
    </row>
    <row r="31" customFormat="false" ht="15" hidden="false" customHeight="false" outlineLevel="0" collapsed="false">
      <c r="A31" s="10" t="s">
        <v>29</v>
      </c>
      <c r="B31" s="10" t="s">
        <v>40</v>
      </c>
      <c r="C31" s="10" t="s">
        <v>41</v>
      </c>
      <c r="D31" s="11" t="n">
        <v>2083000</v>
      </c>
    </row>
    <row r="32" customFormat="false" ht="15" hidden="false" customHeight="false" outlineLevel="0" collapsed="false">
      <c r="A32" s="10" t="s">
        <v>30</v>
      </c>
      <c r="B32" s="10" t="s">
        <v>36</v>
      </c>
      <c r="C32" s="10" t="s">
        <v>37</v>
      </c>
      <c r="D32" s="11" t="n">
        <v>3248000</v>
      </c>
    </row>
    <row r="33" customFormat="false" ht="15" hidden="false" customHeight="false" outlineLevel="0" collapsed="false">
      <c r="A33" s="10" t="s">
        <v>30</v>
      </c>
      <c r="B33" s="10" t="s">
        <v>38</v>
      </c>
      <c r="C33" s="10" t="s">
        <v>39</v>
      </c>
      <c r="D33" s="11" t="n">
        <v>2694000</v>
      </c>
    </row>
    <row r="34" customFormat="false" ht="15" hidden="false" customHeight="false" outlineLevel="0" collapsed="false">
      <c r="A34" s="10" t="s">
        <v>30</v>
      </c>
      <c r="B34" s="10" t="s">
        <v>40</v>
      </c>
      <c r="C34" s="10" t="s">
        <v>41</v>
      </c>
      <c r="D34" s="11" t="n">
        <v>1994000</v>
      </c>
    </row>
    <row r="35" customFormat="false" ht="15" hidden="false" customHeight="false" outlineLevel="0" collapsed="false">
      <c r="A35" s="10" t="s">
        <v>31</v>
      </c>
      <c r="B35" s="10" t="s">
        <v>36</v>
      </c>
      <c r="C35" s="10" t="s">
        <v>37</v>
      </c>
      <c r="D35" s="11" t="n">
        <v>3212000</v>
      </c>
    </row>
    <row r="36" customFormat="false" ht="15" hidden="false" customHeight="false" outlineLevel="0" collapsed="false">
      <c r="A36" s="10" t="s">
        <v>31</v>
      </c>
      <c r="B36" s="10" t="s">
        <v>38</v>
      </c>
      <c r="C36" s="10" t="s">
        <v>39</v>
      </c>
      <c r="D36" s="11" t="n">
        <v>2809000</v>
      </c>
    </row>
    <row r="37" customFormat="false" ht="15" hidden="false" customHeight="false" outlineLevel="0" collapsed="false">
      <c r="A37" s="10" t="s">
        <v>31</v>
      </c>
      <c r="B37" s="10" t="s">
        <v>40</v>
      </c>
      <c r="C37" s="10" t="s">
        <v>41</v>
      </c>
      <c r="D37" s="11" t="n">
        <v>2071000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42</v>
      </c>
      <c r="B1" s="3" t="s">
        <v>43</v>
      </c>
      <c r="C1" s="3" t="s">
        <v>44</v>
      </c>
      <c r="D1" s="3" t="s">
        <v>45</v>
      </c>
    </row>
    <row r="2" customFormat="false" ht="15" hidden="false" customHeight="false" outlineLevel="0" collapsed="false">
      <c r="A2" s="6" t="s">
        <v>46</v>
      </c>
      <c r="B2" s="16" t="n">
        <v>95</v>
      </c>
      <c r="C2" s="7" t="n">
        <v>95000</v>
      </c>
      <c r="D2" s="7" t="n">
        <f aca="false">B2*C2</f>
        <v>9025000</v>
      </c>
    </row>
    <row r="3" customFormat="false" ht="15" hidden="false" customHeight="false" outlineLevel="0" collapsed="false">
      <c r="A3" s="10" t="s">
        <v>47</v>
      </c>
      <c r="B3" s="17" t="n">
        <v>720</v>
      </c>
      <c r="C3" s="11" t="n">
        <v>8500</v>
      </c>
      <c r="D3" s="11" t="n">
        <f aca="false">B3*C3</f>
        <v>6120000</v>
      </c>
    </row>
    <row r="4" customFormat="false" ht="15" hidden="false" customHeight="false" outlineLevel="0" collapsed="false">
      <c r="A4" s="6" t="s">
        <v>48</v>
      </c>
      <c r="B4" s="16" t="n">
        <v>310</v>
      </c>
      <c r="C4" s="7" t="n">
        <v>18000</v>
      </c>
      <c r="D4" s="7" t="n">
        <f aca="false">B4*C4</f>
        <v>5580000</v>
      </c>
    </row>
    <row r="5" customFormat="false" ht="15" hidden="false" customHeight="false" outlineLevel="0" collapsed="false">
      <c r="A5" s="10" t="s">
        <v>49</v>
      </c>
      <c r="B5" s="17" t="n">
        <v>180</v>
      </c>
      <c r="C5" s="11" t="n">
        <v>22000</v>
      </c>
      <c r="D5" s="11" t="n">
        <f aca="false">B5*C5</f>
        <v>3960000</v>
      </c>
    </row>
    <row r="6" customFormat="false" ht="15" hidden="false" customHeight="false" outlineLevel="0" collapsed="false">
      <c r="A6" s="6" t="s">
        <v>50</v>
      </c>
      <c r="B6" s="16" t="n">
        <v>420</v>
      </c>
      <c r="C6" s="7" t="n">
        <v>9500</v>
      </c>
      <c r="D6" s="7" t="n">
        <f aca="false">B6*C6</f>
        <v>3990000</v>
      </c>
    </row>
    <row r="7" customFormat="false" ht="15" hidden="false" customHeight="false" outlineLevel="0" collapsed="false">
      <c r="A7" s="10" t="s">
        <v>51</v>
      </c>
      <c r="B7" s="17" t="n">
        <v>260</v>
      </c>
      <c r="C7" s="11" t="n">
        <v>6000</v>
      </c>
      <c r="D7" s="11" t="n">
        <f aca="false">B7*C7</f>
        <v>1560000</v>
      </c>
    </row>
    <row r="8" customFormat="false" ht="15" hidden="false" customHeight="false" outlineLevel="0" collapsed="false">
      <c r="A8" s="6" t="s">
        <v>52</v>
      </c>
      <c r="B8" s="16" t="n">
        <v>48</v>
      </c>
      <c r="C8" s="7" t="n">
        <v>265000</v>
      </c>
      <c r="D8" s="7" t="n">
        <f aca="false">B8*C8</f>
        <v>12720000</v>
      </c>
    </row>
    <row r="9" customFormat="false" ht="15" hidden="false" customHeight="false" outlineLevel="0" collapsed="false">
      <c r="A9" s="10" t="s">
        <v>53</v>
      </c>
      <c r="B9" s="17" t="n">
        <v>22</v>
      </c>
      <c r="C9" s="11" t="n">
        <v>980000</v>
      </c>
      <c r="D9" s="11" t="n">
        <f aca="false">B9*C9</f>
        <v>21560000</v>
      </c>
    </row>
    <row r="10" customFormat="false" ht="15" hidden="false" customHeight="false" outlineLevel="0" collapsed="false">
      <c r="A10" s="6" t="s">
        <v>54</v>
      </c>
      <c r="B10" s="16" t="n">
        <v>15</v>
      </c>
      <c r="C10" s="7" t="n">
        <v>520000</v>
      </c>
      <c r="D10" s="7" t="n">
        <f aca="false">B10*C10</f>
        <v>7800000</v>
      </c>
    </row>
    <row r="11" customFormat="false" ht="15" hidden="false" customHeight="false" outlineLevel="0" collapsed="false">
      <c r="A11" s="10" t="s">
        <v>55</v>
      </c>
      <c r="B11" s="17" t="n">
        <v>130</v>
      </c>
      <c r="C11" s="11" t="n">
        <v>72000</v>
      </c>
      <c r="D11" s="11" t="n">
        <f aca="false">B11*C11</f>
        <v>9360000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7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3" t="s">
        <v>34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</row>
    <row r="2" customFormat="false" ht="25.5" hidden="false" customHeight="true" outlineLevel="0" collapsed="false">
      <c r="A2" s="18" t="s">
        <v>37</v>
      </c>
      <c r="B2" s="19" t="n">
        <v>1399</v>
      </c>
      <c r="C2" s="19" t="n">
        <v>2015</v>
      </c>
      <c r="D2" s="19" t="n">
        <v>2178</v>
      </c>
      <c r="E2" s="19" t="n">
        <v>1940</v>
      </c>
      <c r="F2" s="19" t="n">
        <v>1922</v>
      </c>
      <c r="G2" s="19" t="n">
        <v>2889</v>
      </c>
      <c r="H2" s="19" t="n">
        <v>3277</v>
      </c>
      <c r="I2" s="19" t="n">
        <v>2737</v>
      </c>
      <c r="J2" s="19" t="n">
        <v>2968</v>
      </c>
      <c r="K2" s="19" t="n">
        <v>2847</v>
      </c>
      <c r="L2" s="19" t="n">
        <v>2375</v>
      </c>
      <c r="M2" s="19" t="n">
        <v>3293</v>
      </c>
      <c r="N2" s="20"/>
    </row>
    <row r="3" customFormat="false" ht="25.5" hidden="false" customHeight="true" outlineLevel="0" collapsed="false">
      <c r="A3" s="18" t="s">
        <v>39</v>
      </c>
      <c r="B3" s="19" t="n">
        <v>1533</v>
      </c>
      <c r="C3" s="19" t="n">
        <v>1263</v>
      </c>
      <c r="D3" s="19" t="n">
        <v>2047</v>
      </c>
      <c r="E3" s="19" t="n">
        <v>1485</v>
      </c>
      <c r="F3" s="19" t="n">
        <v>1698</v>
      </c>
      <c r="G3" s="19" t="n">
        <v>1700</v>
      </c>
      <c r="H3" s="19" t="n">
        <v>3103</v>
      </c>
      <c r="I3" s="19" t="n">
        <v>2664</v>
      </c>
      <c r="J3" s="19" t="n">
        <v>3076</v>
      </c>
      <c r="K3" s="19" t="n">
        <v>3036</v>
      </c>
      <c r="L3" s="19" t="n">
        <v>2121</v>
      </c>
      <c r="M3" s="19" t="n">
        <v>2817</v>
      </c>
      <c r="N3" s="20"/>
    </row>
    <row r="4" customFormat="false" ht="25.5" hidden="false" customHeight="true" outlineLevel="0" collapsed="false">
      <c r="A4" s="18" t="s">
        <v>41</v>
      </c>
      <c r="B4" s="19" t="n">
        <v>1049</v>
      </c>
      <c r="C4" s="19" t="n">
        <v>929</v>
      </c>
      <c r="D4" s="19" t="n">
        <v>1563</v>
      </c>
      <c r="E4" s="19" t="n">
        <v>1144</v>
      </c>
      <c r="F4" s="19" t="n">
        <v>1158</v>
      </c>
      <c r="G4" s="19" t="n">
        <v>1825</v>
      </c>
      <c r="H4" s="19" t="n">
        <v>1442</v>
      </c>
      <c r="I4" s="19" t="n">
        <v>2064</v>
      </c>
      <c r="J4" s="19" t="n">
        <v>1807</v>
      </c>
      <c r="K4" s="19" t="n">
        <v>2103</v>
      </c>
      <c r="L4" s="19" t="n">
        <v>1820</v>
      </c>
      <c r="M4" s="19" t="n">
        <v>2183</v>
      </c>
      <c r="N4" s="20"/>
    </row>
    <row r="5" customFormat="false" ht="25.5" hidden="false" customHeight="true" outlineLevel="0" collapsed="false">
      <c r="A5" s="18" t="s">
        <v>69</v>
      </c>
      <c r="B5" s="19" t="n">
        <v>638</v>
      </c>
      <c r="C5" s="19" t="n">
        <v>636</v>
      </c>
      <c r="D5" s="19" t="n">
        <v>1086</v>
      </c>
      <c r="E5" s="19" t="n">
        <v>765</v>
      </c>
      <c r="F5" s="19" t="n">
        <v>1149</v>
      </c>
      <c r="G5" s="19" t="n">
        <v>969</v>
      </c>
      <c r="H5" s="19" t="n">
        <v>1578</v>
      </c>
      <c r="I5" s="19" t="n">
        <v>1465</v>
      </c>
      <c r="J5" s="19" t="n">
        <v>1502</v>
      </c>
      <c r="K5" s="19" t="n">
        <v>1670</v>
      </c>
      <c r="L5" s="19" t="n">
        <v>1479</v>
      </c>
      <c r="M5" s="19" t="n">
        <v>1766</v>
      </c>
      <c r="N5" s="20"/>
    </row>
    <row r="7" customFormat="false" ht="15" hidden="false" customHeight="false" outlineLevel="0" collapsed="false">
      <c r="A7" s="1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11"/>
  </cols>
  <sheetData>
    <row r="2" customFormat="false" ht="30" hidden="false" customHeight="true" outlineLevel="0" collapsed="false">
      <c r="B2" s="21" t="s">
        <v>71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customFormat="false" ht="15" hidden="false" customHeight="false" outlineLevel="0" collapsed="false">
      <c r="B4" s="22" t="s">
        <v>72</v>
      </c>
      <c r="C4" s="22"/>
      <c r="D4" s="22"/>
      <c r="F4" s="22" t="s">
        <v>73</v>
      </c>
      <c r="G4" s="22"/>
      <c r="H4" s="22"/>
      <c r="J4" s="22" t="s">
        <v>74</v>
      </c>
      <c r="K4" s="22"/>
      <c r="L4" s="22"/>
    </row>
    <row r="5" customFormat="false" ht="15" hidden="false" customHeight="false" outlineLevel="0" collapsed="false">
      <c r="B5" s="23" t="n">
        <f aca="false">Datos_Mensual!B13</f>
        <v>8800000</v>
      </c>
      <c r="C5" s="23"/>
      <c r="D5" s="23"/>
      <c r="F5" s="23"/>
      <c r="G5" s="23"/>
      <c r="H5" s="23"/>
      <c r="J5" s="23"/>
      <c r="K5" s="23"/>
      <c r="L5" s="23"/>
    </row>
    <row r="6" customFormat="false" ht="15" hidden="false" customHeight="false" outlineLevel="0" collapsed="false">
      <c r="B6" s="23"/>
      <c r="C6" s="23"/>
      <c r="D6" s="23"/>
      <c r="F6" s="23"/>
      <c r="G6" s="23"/>
      <c r="H6" s="23"/>
      <c r="J6" s="23"/>
      <c r="K6" s="23"/>
      <c r="L6" s="23"/>
    </row>
    <row r="7" customFormat="false" ht="15" hidden="false" customHeight="false" outlineLevel="0" collapsed="false">
      <c r="B7" s="24" t="str">
        <f aca="false">IF(Datos_Mensual!B13&gt;=Datos_Mensual!E13,"▲ "&amp;TEXT(Datos_Mensual!B13/Datos_Mensual!E13-1,"+0.0%")&amp;" vs meta","▼ "&amp;TEXT(Datos_Mensual!B13/Datos_Mensual!E13-1,"0.0%")&amp;" vs meta")</f>
        <v>▲ +5.4% vs meta</v>
      </c>
      <c r="C7" s="24"/>
      <c r="D7" s="24"/>
      <c r="F7" s="24"/>
      <c r="G7" s="24"/>
      <c r="H7" s="24"/>
      <c r="J7" s="24"/>
      <c r="K7" s="24"/>
      <c r="L7" s="24"/>
    </row>
    <row r="9" customFormat="false" ht="15" hidden="false" customHeight="true" outlineLevel="0" collapsed="false">
      <c r="B9" s="25" t="s">
        <v>75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5" hidden="false" customHeight="false" outlineLevel="0" collapsed="false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</sheetData>
  <mergeCells count="11">
    <mergeCell ref="B2:M2"/>
    <mergeCell ref="B4:D4"/>
    <mergeCell ref="F4:H4"/>
    <mergeCell ref="J4:L4"/>
    <mergeCell ref="B5:D6"/>
    <mergeCell ref="F5:H6"/>
    <mergeCell ref="J5:L6"/>
    <mergeCell ref="B7:D7"/>
    <mergeCell ref="F7:H7"/>
    <mergeCell ref="J7:L7"/>
    <mergeCell ref="B9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2026-07-03T19:22:02Z</dcterms:created>
  <dc:creator>openpyxl</dc:creator>
  <dc:description/>
  <dc:language>en-US</dc:language>
  <cp:lastModifiedBy/>
  <dcterms:modified xsi:type="dcterms:W3CDTF">2026-07-03T19:22:02Z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