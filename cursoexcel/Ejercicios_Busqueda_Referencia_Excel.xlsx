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ía" sheetId="1" state="visible" r:id="rId1"/>
    <sheet xmlns:r="http://schemas.openxmlformats.org/officeDocument/2006/relationships" name="Práctica resuel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 #,##0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555555"/>
      <sz val="10"/>
    </font>
    <font>
      <name val="Arial"/>
      <b val="1"/>
      <color rgb="002F6B4F"/>
      <sz val="12"/>
    </font>
    <font>
      <name val="Arial"/>
      <b val="1"/>
      <color rgb="00FFFFFF"/>
    </font>
    <font>
      <name val="Arial"/>
      <b val="1"/>
    </font>
    <font>
      <name val="Arial"/>
    </font>
    <font>
      <name val="Arial"/>
      <color rgb="000000FF"/>
    </font>
    <font>
      <name val="Arial"/>
      <b val="1"/>
      <color rgb="002F6B4F"/>
    </font>
    <font>
      <name val="Courier New"/>
      <b val="1"/>
      <color rgb="000C447C"/>
    </font>
    <font>
      <name val="Arial"/>
      <b val="1"/>
      <color rgb="002F6B4F"/>
      <sz val="9"/>
    </font>
    <font>
      <name val="Arial"/>
      <color rgb="00555555"/>
      <sz val="9"/>
    </font>
  </fonts>
  <fills count="5">
    <fill>
      <patternFill/>
    </fill>
    <fill>
      <patternFill patternType="gray125"/>
    </fill>
    <fill>
      <patternFill patternType="solid">
        <fgColor rgb="002F6B4F"/>
      </patternFill>
    </fill>
    <fill>
      <patternFill patternType="solid">
        <fgColor rgb="00E8F1EC"/>
      </patternFill>
    </fill>
    <fill>
      <patternFill patternType="solid">
        <fgColor rgb="00F5F4EC"/>
      </patternFill>
    </fill>
  </fills>
  <borders count="2">
    <border>
      <left/>
      <right/>
      <top/>
      <bottom/>
      <diagonal/>
    </border>
    <border>
      <left style="thin">
        <color rgb="00B7CBBF"/>
      </left>
      <right style="thin">
        <color rgb="00B7CBBF"/>
      </right>
      <top style="thin">
        <color rgb="00B7CBBF"/>
      </top>
      <bottom style="thin">
        <color rgb="00B7CB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6" fillId="3" borderId="1" pivotButton="0" quotePrefix="0" xfId="0"/>
    <xf numFmtId="0" fontId="7" fillId="3" borderId="1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0" fontId="7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vertical="center" wrapText="1"/>
    </xf>
    <xf numFmtId="0" fontId="9" fillId="4" borderId="1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 wrapText="1"/>
    </xf>
    <xf numFmtId="0" fontId="9" fillId="0" borderId="1" applyAlignment="1" pivotButton="0" quotePrefix="0" xfId="0">
      <alignment vertical="center"/>
    </xf>
    <xf numFmtId="0" fontId="10" fillId="0" borderId="0" pivotButton="0" quotePrefix="0" xfId="0"/>
    <xf numFmtId="0" fontId="11" fillId="0" borderId="0" pivotButton="0" quotePrefix="0" xfId="0"/>
    <xf numFmtId="164" fontId="7" fillId="3" borderId="1" pivotButton="0" quotePrefix="0" xfId="0"/>
    <xf numFmtId="164" fontId="5" fillId="0" borderId="0" pivotButton="0" quotePrefix="0" xfId="0"/>
    <xf numFmtId="164" fontId="7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54" customWidth="1" min="3" max="3"/>
    <col width="50" customWidth="1" min="4" max="4"/>
  </cols>
  <sheetData>
    <row r="1" ht="30" customHeight="1">
      <c r="A1" s="1" t="inlineStr">
        <is>
          <t>Búsqueda y referencia avanzadas en Excel — Guía práctica</t>
        </is>
      </c>
    </row>
    <row r="2">
      <c r="A2" s="2" t="inlineStr">
        <is>
          <t>Prof. Rubén Markwart — E.P.E.T. N°7 (EPJA) — Tecnicatura en Informática</t>
        </is>
      </c>
    </row>
    <row r="4">
      <c r="A4" s="3" t="inlineStr">
        <is>
          <t>PASO 1 — Cargar el inventario base en la hoja "Práctica resuelta" (ya está cargado para comparar)</t>
        </is>
      </c>
    </row>
    <row r="5">
      <c r="A5" s="4" t="inlineStr">
        <is>
          <t>Celdas</t>
        </is>
      </c>
      <c r="B5" s="4" t="inlineStr">
        <is>
          <t>Descripción</t>
        </is>
      </c>
      <c r="C5" s="4" t="inlineStr">
        <is>
          <t>Valores</t>
        </is>
      </c>
    </row>
    <row r="6">
      <c r="A6" s="5" t="inlineStr">
        <is>
          <t>A1:D1</t>
        </is>
      </c>
      <c r="B6" s="6" t="inlineStr">
        <is>
          <t>Encabezados</t>
        </is>
      </c>
      <c r="C6" s="7" t="inlineStr">
        <is>
          <t>Artículo | Categoría | Stock | Precio</t>
        </is>
      </c>
    </row>
    <row r="7">
      <c r="A7" s="8" t="inlineStr">
        <is>
          <t>A2:D2</t>
        </is>
      </c>
      <c r="B7" s="9" t="inlineStr">
        <is>
          <t>Fila 1</t>
        </is>
      </c>
      <c r="C7" s="10" t="inlineStr">
        <is>
          <t>Tóner HP 85A | Impresión | 4 | 95000</t>
        </is>
      </c>
    </row>
    <row r="8">
      <c r="A8" s="5" t="inlineStr">
        <is>
          <t>A3:D3</t>
        </is>
      </c>
      <c r="B8" s="6" t="inlineStr">
        <is>
          <t>Fila 2</t>
        </is>
      </c>
      <c r="C8" s="7" t="inlineStr">
        <is>
          <t>Mouse inalámbrico | Periféricos | 12 | 18000</t>
        </is>
      </c>
    </row>
    <row r="9">
      <c r="A9" s="8" t="inlineStr">
        <is>
          <t>A4:D4</t>
        </is>
      </c>
      <c r="B9" s="9" t="inlineStr">
        <is>
          <t>Fila 3</t>
        </is>
      </c>
      <c r="C9" s="10" t="inlineStr">
        <is>
          <t>Cable HDMI 2m | Cables | 25 | 9500</t>
        </is>
      </c>
    </row>
    <row r="10">
      <c r="A10" s="5" t="inlineStr">
        <is>
          <t>A5:D5</t>
        </is>
      </c>
      <c r="B10" s="6" t="inlineStr">
        <is>
          <t>Fila 4</t>
        </is>
      </c>
      <c r="C10" s="7" t="inlineStr">
        <is>
          <t>Teclado USB | Periféricos | 8 | 22000</t>
        </is>
      </c>
    </row>
    <row r="11">
      <c r="A11" s="8" t="inlineStr">
        <is>
          <t>A6:D6</t>
        </is>
      </c>
      <c r="B11" s="9" t="inlineStr">
        <is>
          <t>Fila 5</t>
        </is>
      </c>
      <c r="C11" s="10" t="inlineStr">
        <is>
          <t>Resma A4 | Impresión | 30 | 8500</t>
        </is>
      </c>
    </row>
    <row r="12">
      <c r="A12" s="5" t="inlineStr">
        <is>
          <t>A7:D7</t>
        </is>
      </c>
      <c r="B12" s="6" t="inlineStr">
        <is>
          <t>Fila 6</t>
        </is>
      </c>
      <c r="C12" s="7" t="inlineStr">
        <is>
          <t>Cable de red 5m | Cables | 15 | 6000</t>
        </is>
      </c>
    </row>
    <row r="14">
      <c r="A14" s="3" t="inlineStr">
        <is>
          <t>PASO 2 — Ejercicios: respetá exactamente las celdas — el espacio libre es para que las matrices dinámicas derramen</t>
        </is>
      </c>
    </row>
    <row r="15">
      <c r="A15" s="11" t="inlineStr">
        <is>
          <t>Celda</t>
        </is>
      </c>
      <c r="B15" s="11" t="inlineStr">
        <is>
          <t>Función</t>
        </is>
      </c>
      <c r="C15" s="11" t="inlineStr">
        <is>
          <t>Descripción / Instrucción</t>
        </is>
      </c>
      <c r="D15" s="11" t="inlineStr">
        <is>
          <t>Fórmula a escribir (Excel en español)</t>
        </is>
      </c>
    </row>
    <row r="16" ht="26" customHeight="1">
      <c r="A16" s="12" t="inlineStr">
        <is>
          <t>F2</t>
        </is>
      </c>
      <c r="B16" s="13" t="inlineStr">
        <is>
          <t>BUSCARX</t>
        </is>
      </c>
      <c r="C16" s="14" t="inlineStr">
        <is>
          <t>Precio del "Teclado USB"; si no existe, "No encontrado"</t>
        </is>
      </c>
      <c r="D16" s="15" t="inlineStr">
        <is>
          <t>=BUSCARX("Teclado USB";A2:A7;D2:D7;"No encontrado")</t>
        </is>
      </c>
    </row>
    <row r="17" ht="26" customHeight="1">
      <c r="A17" s="16" t="inlineStr">
        <is>
          <t>F4</t>
        </is>
      </c>
      <c r="B17" s="17" t="inlineStr">
        <is>
          <t>COINCIDIR</t>
        </is>
      </c>
      <c r="C17" s="18" t="inlineStr">
        <is>
          <t>Posición (fila relativa) de la "Resma A4" en A2:A7</t>
        </is>
      </c>
      <c r="D17" s="19" t="inlineStr">
        <is>
          <t>=COINCIDIR("Resma A4";A2:A7;0)</t>
        </is>
      </c>
    </row>
    <row r="18" ht="26" customHeight="1">
      <c r="A18" s="12" t="inlineStr">
        <is>
          <t>F6</t>
        </is>
      </c>
      <c r="B18" s="13" t="inlineStr">
        <is>
          <t>ÍNDICE</t>
        </is>
      </c>
      <c r="C18" s="14" t="inlineStr">
        <is>
          <t>Stock (columna 3) del artículo en la posición que dio F4</t>
        </is>
      </c>
      <c r="D18" s="15" t="inlineStr">
        <is>
          <t>=INDICE(A2:D7;F4;3)</t>
        </is>
      </c>
    </row>
    <row r="19" ht="26" customHeight="1">
      <c r="A19" s="16" t="inlineStr">
        <is>
          <t>F8</t>
        </is>
      </c>
      <c r="B19" s="17" t="inlineStr">
        <is>
          <t>DESREF</t>
        </is>
      </c>
      <c r="C19" s="18" t="inlineStr">
        <is>
          <t>Desde A1, bajar 3 filas y correrse 3 columnas → precio del Cable HDMI</t>
        </is>
      </c>
      <c r="D19" s="19" t="inlineStr">
        <is>
          <t>=DESREF(A1;3;3)</t>
        </is>
      </c>
    </row>
    <row r="20" ht="26" customHeight="1">
      <c r="A20" s="12" t="inlineStr">
        <is>
          <t>F10</t>
        </is>
      </c>
      <c r="B20" s="13" t="inlineStr">
        <is>
          <t>TRANSPONER</t>
        </is>
      </c>
      <c r="C20" s="14" t="inlineStr">
        <is>
          <t>Convertir los encabezados A1:D1 en columna vertical (derrama F10:F13)</t>
        </is>
      </c>
      <c r="D20" s="15" t="inlineStr">
        <is>
          <t>=TRANSPONER(A1:D1)</t>
        </is>
      </c>
    </row>
    <row r="21" ht="26" customHeight="1">
      <c r="A21" s="16" t="inlineStr">
        <is>
          <t>H2</t>
        </is>
      </c>
      <c r="B21" s="17" t="inlineStr">
        <is>
          <t>FILTRAR</t>
        </is>
      </c>
      <c r="C21" s="18" t="inlineStr">
        <is>
          <t>Artículos con stock &lt; 10 (alerta de reposición); derrama filas completas</t>
        </is>
      </c>
      <c r="D21" s="19" t="inlineStr">
        <is>
          <t>=FILTRAR(A2:D7;C2:C7&lt;10;"Sin faltantes")</t>
        </is>
      </c>
    </row>
    <row r="22" ht="26" customHeight="1">
      <c r="A22" s="12" t="inlineStr">
        <is>
          <t>H6</t>
        </is>
      </c>
      <c r="B22" s="13" t="inlineStr">
        <is>
          <t>ORDENAR</t>
        </is>
      </c>
      <c r="C22" s="14" t="inlineStr">
        <is>
          <t>Inventario ordenado por precio, de mayor a menor</t>
        </is>
      </c>
      <c r="D22" s="15" t="inlineStr">
        <is>
          <t>=ORDENAR(A2:D7;4;-1)</t>
        </is>
      </c>
    </row>
    <row r="23" ht="26" customHeight="1">
      <c r="A23" s="16" t="inlineStr">
        <is>
          <t>M2</t>
        </is>
      </c>
      <c r="B23" s="17" t="inlineStr">
        <is>
          <t>UNICOS</t>
        </is>
      </c>
      <c r="C23" s="18" t="inlineStr">
        <is>
          <t>Lista de categorías sin repeticiones (derrama hacia abajo)</t>
        </is>
      </c>
      <c r="D23" s="19" t="inlineStr">
        <is>
          <t>=UNICOS(B2:B7)</t>
        </is>
      </c>
    </row>
    <row r="25">
      <c r="A25" s="20" t="inlineStr">
        <is>
          <t>NOTAS:</t>
        </is>
      </c>
    </row>
    <row r="26">
      <c r="A26" s="21" t="inlineStr">
        <is>
          <t>• BUSCARX, FILTRAR, ORDENAR y UNICOS requieren Microsoft 365 o Excel 2021+. Si aparece error de NOMBRE, la versión no las soporta: el plan B universal es ÍNDICE+COINCIDIR (F4 y F6).</t>
        </is>
      </c>
    </row>
    <row r="27">
      <c r="A27" s="21" t="inlineStr">
        <is>
          <t>• Las matrices dinámicas no pueden derramar sobre celdas ocupadas: si ves error de DESBORDAMIENTO, despejá las celdas de abajo/derecha.</t>
        </is>
      </c>
    </row>
    <row r="28">
      <c r="A28" s="21" t="inlineStr">
        <is>
          <t>• DESREF es volátil (se recalcula con cada cambio en la hoja): potente pero costosa en planillas grandes.</t>
        </is>
      </c>
    </row>
    <row r="29">
      <c r="A29" s="21" t="inlineStr">
        <is>
          <t>• El cuarto argumento de BUSCARX ("si no se encuentra") reemplaza al viejo combo SI.ERROR+BUSCARV en una sola función.</t>
        </is>
      </c>
    </row>
    <row r="30">
      <c r="A30" s="21" t="inlineStr">
        <is>
          <t>• En ORDENAR, el -1 final indica descendente y el 4 es la columna del rango por la que se ordena.</t>
        </is>
      </c>
    </row>
  </sheetData>
  <mergeCells count="8">
    <mergeCell ref="A1:D1"/>
    <mergeCell ref="A27:D27"/>
    <mergeCell ref="A26:D26"/>
    <mergeCell ref="A30:D30"/>
    <mergeCell ref="A29:D29"/>
    <mergeCell ref="A25:D25"/>
    <mergeCell ref="A2:D2"/>
    <mergeCell ref="A28:D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8" customWidth="1" min="3" max="3"/>
    <col width="12" customWidth="1" min="4" max="4"/>
    <col width="22" customWidth="1" min="6" max="6"/>
    <col width="18" customWidth="1" min="8" max="8"/>
    <col width="14" customWidth="1" min="9" max="9"/>
    <col width="8" customWidth="1" min="10" max="10"/>
    <col width="12" customWidth="1" min="11" max="11"/>
    <col width="16" customWidth="1" min="13" max="13"/>
  </cols>
  <sheetData>
    <row r="1">
      <c r="A1" s="4" t="inlineStr">
        <is>
          <t>Artículo</t>
        </is>
      </c>
      <c r="B1" s="4" t="inlineStr">
        <is>
          <t>Categoría</t>
        </is>
      </c>
      <c r="C1" s="4" t="inlineStr">
        <is>
          <t>Stock</t>
        </is>
      </c>
      <c r="D1" s="4" t="inlineStr">
        <is>
          <t>Precio</t>
        </is>
      </c>
      <c r="F1" s="20" t="inlineStr">
        <is>
          <t>BUSCARX</t>
        </is>
      </c>
      <c r="H1" s="20" t="inlineStr">
        <is>
          <t>FILTRAR: stock &lt; 10</t>
        </is>
      </c>
      <c r="M1" s="20" t="inlineStr">
        <is>
          <t>UNICOS: categorías</t>
        </is>
      </c>
    </row>
    <row r="2">
      <c r="A2" s="7" t="inlineStr">
        <is>
          <t>Tóner HP 85A</t>
        </is>
      </c>
      <c r="B2" s="7" t="inlineStr">
        <is>
          <t>Impresión</t>
        </is>
      </c>
      <c r="C2" s="7" t="n">
        <v>4</v>
      </c>
      <c r="D2" s="22" t="n">
        <v>95000</v>
      </c>
      <c r="F2" s="23">
        <f>_xlfn.XLOOKUP("Teclado USB",A2:A7,D2:D7,"No encontrado")</f>
        <v/>
      </c>
      <c r="H2">
        <f>_xlfn._xlws.FILTER(A2:D7,C2:C7&lt;10,"Sin faltantes")</f>
        <v/>
      </c>
      <c r="M2">
        <f>_xlfn.UNIQUE(B2:B7)</f>
        <v/>
      </c>
    </row>
    <row r="3">
      <c r="A3" s="10" t="inlineStr">
        <is>
          <t>Mouse inalámbrico</t>
        </is>
      </c>
      <c r="B3" s="10" t="inlineStr">
        <is>
          <t>Periféricos</t>
        </is>
      </c>
      <c r="C3" s="10" t="n">
        <v>12</v>
      </c>
      <c r="D3" s="24" t="n">
        <v>18000</v>
      </c>
      <c r="F3" s="20" t="inlineStr">
        <is>
          <t>COINCIDIR</t>
        </is>
      </c>
    </row>
    <row r="4">
      <c r="A4" s="7" t="inlineStr">
        <is>
          <t>Cable HDMI 2m</t>
        </is>
      </c>
      <c r="B4" s="7" t="inlineStr">
        <is>
          <t>Cables</t>
        </is>
      </c>
      <c r="C4" s="7" t="n">
        <v>25</v>
      </c>
      <c r="D4" s="22" t="n">
        <v>9500</v>
      </c>
      <c r="F4" s="25">
        <f>MATCH("Resma A4",A2:A7,0)</f>
        <v/>
      </c>
    </row>
    <row r="5">
      <c r="A5" s="10" t="inlineStr">
        <is>
          <t>Teclado USB</t>
        </is>
      </c>
      <c r="B5" s="10" t="inlineStr">
        <is>
          <t>Periféricos</t>
        </is>
      </c>
      <c r="C5" s="10" t="n">
        <v>8</v>
      </c>
      <c r="D5" s="24" t="n">
        <v>22000</v>
      </c>
      <c r="F5" s="20" t="inlineStr">
        <is>
          <t>ÍNDICE</t>
        </is>
      </c>
      <c r="H5" s="20" t="inlineStr">
        <is>
          <t>ORDENAR: precio desc.</t>
        </is>
      </c>
    </row>
    <row r="6">
      <c r="A6" s="7" t="inlineStr">
        <is>
          <t>Resma A4</t>
        </is>
      </c>
      <c r="B6" s="7" t="inlineStr">
        <is>
          <t>Impresión</t>
        </is>
      </c>
      <c r="C6" s="7" t="n">
        <v>30</v>
      </c>
      <c r="D6" s="22" t="n">
        <v>8500</v>
      </c>
      <c r="F6" s="25">
        <f>INDEX(A2:D7,F4,3)</f>
        <v/>
      </c>
      <c r="H6">
        <f>_xlfn._xlws.SORT(A2:D7,4,-1)</f>
        <v/>
      </c>
    </row>
    <row r="7">
      <c r="A7" s="10" t="inlineStr">
        <is>
          <t>Cable de red 5m</t>
        </is>
      </c>
      <c r="B7" s="10" t="inlineStr">
        <is>
          <t>Cables</t>
        </is>
      </c>
      <c r="C7" s="10" t="n">
        <v>15</v>
      </c>
      <c r="D7" s="24" t="n">
        <v>6000</v>
      </c>
      <c r="F7" s="20" t="inlineStr">
        <is>
          <t>DESREF</t>
        </is>
      </c>
    </row>
    <row r="8">
      <c r="F8" s="23">
        <f>OFFSET(A1,3,3)</f>
        <v/>
      </c>
    </row>
    <row r="9">
      <c r="F9" s="20" t="inlineStr">
        <is>
          <t>TRANSPONER</t>
        </is>
      </c>
    </row>
    <row r="10">
      <c r="F10">
        <f>TRANSPOSE(A1:D1)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2026-07-03T03:23:20Z</dcterms:created>
  <dcterms:modified xmlns:dcterms="http://purl.org/dc/terms/" xmlns:xsi="http://www.w3.org/2001/XMLSchema-instance" xsi:type="dcterms:W3CDTF">2026-07-03T03:23:20Z</dcterms:modified>
</cp:coreProperties>
</file>