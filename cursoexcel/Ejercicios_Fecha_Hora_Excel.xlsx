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jercici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<sst xmlns="http://schemas.openxmlformats.org/spreadsheetml/2006/main" count="49" uniqueCount="49">
  <si>
    <t xml:space="preserve">Funciones de fecha y hora en Excel — Guía práctica</t>
  </si>
  <si>
    <t xml:space="preserve">Prof. Rubén Markwart — E.P.E.T. N°7 (EPJA) — Tecnicatura en Informática</t>
  </si>
  <si>
    <t xml:space="preserve">PASO 1 — Datos base (los valores están en las celdas B6, B7 y B8)</t>
  </si>
  <si>
    <t xml:space="preserve">Descripción del dato</t>
  </si>
  <si>
    <t xml:space="preserve">Valor</t>
  </si>
  <si>
    <t xml:space="preserve">Fecha de inicio del proyecto escolar</t>
  </si>
  <si>
    <t xml:space="preserve">Fecha de entrega final del proyecto</t>
  </si>
  <si>
    <t xml:space="preserve">Fecha de nacimiento de un estudiante</t>
  </si>
  <si>
    <t xml:space="preserve">PASO 2 — Ejercicios: escribí la fórmula de la columna D; la columna E muestra el resultado esperado</t>
  </si>
  <si>
    <t xml:space="preserve">N°</t>
  </si>
  <si>
    <t xml:space="preserve">Función</t>
  </si>
  <si>
    <t xml:space="preserve">Descripción / Instrucción</t>
  </si>
  <si>
    <t xml:space="preserve">Fórmula a escribir (Excel en español)</t>
  </si>
  <si>
    <t xml:space="preserve">Resultado</t>
  </si>
  <si>
    <t xml:space="preserve">HOY</t>
  </si>
  <si>
    <t xml:space="preserve">Mostrar la fecha actual del sistema (se actualiza sola)</t>
  </si>
  <si>
    <t xml:space="preserve">=HOY()</t>
  </si>
  <si>
    <t xml:space="preserve">AHORA</t>
  </si>
  <si>
    <t xml:space="preserve">Mostrar la fecha y hora actual</t>
  </si>
  <si>
    <t xml:space="preserve">=AHORA()</t>
  </si>
  <si>
    <t xml:space="preserve">FECHA</t>
  </si>
  <si>
    <t xml:space="preserve">Construir la fecha del acto de fin de año 2026</t>
  </si>
  <si>
    <t xml:space="preserve">=FECHA(2026;12;18)</t>
  </si>
  <si>
    <t xml:space="preserve">SIFECHA (DATEDIF)</t>
  </si>
  <si>
    <t xml:space="preserve">Días que dura el proyecto (de B6 a B7)</t>
  </si>
  <si>
    <t xml:space="preserve">=SIFECHA(B6;B7;"d")</t>
  </si>
  <si>
    <t xml:space="preserve">AÑO</t>
  </si>
  <si>
    <t xml:space="preserve">Extraer el año de la fecha de nacimiento (B8)</t>
  </si>
  <si>
    <t xml:space="preserve">=AÑO(B8)</t>
  </si>
  <si>
    <t xml:space="preserve">MES</t>
  </si>
  <si>
    <t xml:space="preserve">Extraer el número de mes del inicio del proyecto (B6)</t>
  </si>
  <si>
    <t xml:space="preserve">=MES(B6)</t>
  </si>
  <si>
    <t xml:space="preserve">DÍA</t>
  </si>
  <si>
    <t xml:space="preserve">Extraer el día del mes de la fecha de entrega (B7)</t>
  </si>
  <si>
    <t xml:space="preserve">=DIA(B7)</t>
  </si>
  <si>
    <t xml:space="preserve">DÍA.DE.LA.SEMANA</t>
  </si>
  <si>
    <t xml:space="preserve">Día de la semana de la entrega (1=domingo, 7=sábado)</t>
  </si>
  <si>
    <t xml:space="preserve">=DIASEM(B7)</t>
  </si>
  <si>
    <t xml:space="preserve">FIN.MES</t>
  </si>
  <si>
    <t xml:space="preserve">Último día del mes de la fecha de inicio (B6)</t>
  </si>
  <si>
    <t xml:space="preserve">=FIN.MES(B6;0)</t>
  </si>
  <si>
    <t xml:space="preserve">DIAS.LAB</t>
  </si>
  <si>
    <t xml:space="preserve">Días hábiles (lun-vie) entre inicio y entrega</t>
  </si>
  <si>
    <t xml:space="preserve">=DIAS.LAB(B6;B7)</t>
  </si>
  <si>
    <t xml:space="preserve">NOTAS:</t>
  </si>
  <si>
    <t xml:space="preserve">• DATEDIF en Excel en español se escribe SIFECHA. Es una función "oculta": no aparece en el autocompletado, pero funciona.</t>
  </si>
  <si>
    <t xml:space="preserve">• DÍA.DE.LA.SEMANA en la mayoría de las versiones en español es DIASEM. Verificá cuál acepta tu versión.</t>
  </si>
  <si>
    <t xml:space="preserve">• Si un resultado numérico aparece como fecha rara, cambiá el formato de la celda a Número o General (Inicio → Formato de número).</t>
  </si>
  <si>
    <t xml:space="preserve">• Los valores en azul (B6:B8) son datos de entrada: podés modificarlos y todo se recalcula solo.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</si>
</sst>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dd/mm/yyyy\ hh:mm"/>
    <numFmt numFmtId="167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2F6B4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2F6B4F"/>
      <name val="Arial"/>
      <family val="0"/>
      <charset val="1"/>
    </font>
    <font>
      <b val="true"/>
      <sz val="11"/>
      <color rgb="FF0C447C"/>
      <name val="Courier New"/>
      <family val="0"/>
      <charset val="1"/>
    </font>
    <font>
      <b val="true"/>
      <sz val="9"/>
      <color rgb="FF2F6B4F"/>
      <name val="Arial"/>
      <family val="0"/>
      <charset val="1"/>
    </font>
    <font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6B4F"/>
        <bgColor rgb="FF555555"/>
      </patternFill>
    </fill>
    <fill>
      <patternFill patternType="solid">
        <fgColor rgb="FFE8F1EC"/>
        <bgColor rgb="FFF5F4EC"/>
      </patternFill>
    </fill>
    <fill>
      <patternFill patternType="solid">
        <fgColor rgb="FFF5F4EC"/>
        <bgColor rgb="FFE8F1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BBF"/>
      </left>
      <right style="thin">
        <color rgb="FFB7CBBF"/>
      </right>
      <top style="thin">
        <color rgb="FFB7CBBF"/>
      </top>
      <bottom style="thin">
        <color rgb="FFB7CB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B4F"/>
      <rgbColor rgb="FFB7CBBF"/>
      <rgbColor rgb="FF808080"/>
      <rgbColor rgb="FF9999FF"/>
      <rgbColor rgb="FF993366"/>
      <rgbColor rgb="FFF5F4EC"/>
      <rgbColor rgb="FFE8F1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C447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4" min="4" style="0" width="34"/>
    <col collapsed="false" customWidth="true" hidden="false" outlineLevel="0" max="5" min="5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6" t="n">
        <v>46083</v>
      </c>
    </row>
    <row r="7" customFormat="false" ht="15" hidden="false" customHeight="false" outlineLevel="0" collapsed="false">
      <c r="A7" s="7" t="s">
        <v>6</v>
      </c>
      <c r="B7" s="8" t="n">
        <v>46353</v>
      </c>
    </row>
    <row r="8" customFormat="false" ht="15" hidden="false" customHeight="false" outlineLevel="0" collapsed="false">
      <c r="A8" s="5" t="s">
        <v>7</v>
      </c>
      <c r="B8" s="6" t="n">
        <v>36022</v>
      </c>
    </row>
    <row r="10" customFormat="false" ht="15" hidden="false" customHeight="false" outlineLevel="0" collapsed="false">
      <c r="A10" s="3" t="s">
        <v>8</v>
      </c>
    </row>
    <row r="11" customFormat="false" ht="26.85" hidden="false" customHeight="false" outlineLevel="0" collapsed="false">
      <c r="A11" s="9" t="s">
        <v>9</v>
      </c>
      <c r="B11" s="9" t="s">
        <v>10</v>
      </c>
      <c r="C11" s="9" t="s">
        <v>11</v>
      </c>
      <c r="D11" s="9" t="s">
        <v>12</v>
      </c>
      <c r="E11" s="9" t="s">
        <v>13</v>
      </c>
    </row>
    <row r="12" customFormat="false" ht="27.75" hidden="false" customHeight="true" outlineLevel="0" collapsed="false">
      <c r="A12" s="10" t="n">
        <v>1</v>
      </c>
      <c r="B12" s="11" t="s">
        <v>14</v>
      </c>
      <c r="C12" s="12" t="s">
        <v>15</v>
      </c>
      <c r="D12" s="13" t="s">
        <v>16</v>
      </c>
      <c r="E12" s="14" t="n">
        <f aca="true">TODAY()</f>
        <v>46206</v>
      </c>
    </row>
    <row r="13" customFormat="false" ht="27.75" hidden="false" customHeight="true" outlineLevel="0" collapsed="false">
      <c r="A13" s="15" t="n">
        <v>2</v>
      </c>
      <c r="B13" s="16" t="s">
        <v>17</v>
      </c>
      <c r="C13" s="17" t="s">
        <v>18</v>
      </c>
      <c r="D13" s="18" t="s">
        <v>19</v>
      </c>
      <c r="E13" s="19" t="n">
        <f aca="true">NOW()</f>
        <v>46206.1264397885</v>
      </c>
    </row>
    <row r="14" customFormat="false" ht="27.75" hidden="false" customHeight="true" outlineLevel="0" collapsed="false">
      <c r="A14" s="10" t="n">
        <v>3</v>
      </c>
      <c r="B14" s="11" t="s">
        <v>20</v>
      </c>
      <c r="C14" s="12" t="s">
        <v>21</v>
      </c>
      <c r="D14" s="13" t="s">
        <v>22</v>
      </c>
      <c r="E14" s="14" t="n">
        <f aca="false">DATE(2026,12,18)</f>
        <v>46374</v>
      </c>
    </row>
    <row r="15" customFormat="false" ht="27.75" hidden="false" customHeight="true" outlineLevel="0" collapsed="false">
      <c r="A15" s="15" t="n">
        <v>4</v>
      </c>
      <c r="B15" s="16" t="s">
        <v>23</v>
      </c>
      <c r="C15" s="17" t="s">
        <v>24</v>
      </c>
      <c r="D15" s="18" t="s">
        <v>25</v>
      </c>
      <c r="E15" s="20" t="n">
        <f aca="false">DATEDIF(B6,B7,"d")</f>
        <v>270</v>
      </c>
    </row>
    <row r="16" customFormat="false" ht="27.75" hidden="false" customHeight="true" outlineLevel="0" collapsed="false">
      <c r="A16" s="10" t="n">
        <v>5</v>
      </c>
      <c r="B16" s="11" t="s">
        <v>26</v>
      </c>
      <c r="C16" s="12" t="s">
        <v>27</v>
      </c>
      <c r="D16" s="13" t="s">
        <v>28</v>
      </c>
      <c r="E16" s="21" t="n">
        <f aca="false">YEAR(B8)</f>
        <v>1998</v>
      </c>
    </row>
    <row r="17" customFormat="false" ht="27.75" hidden="false" customHeight="true" outlineLevel="0" collapsed="false">
      <c r="A17" s="15" t="n">
        <v>6</v>
      </c>
      <c r="B17" s="16" t="s">
        <v>29</v>
      </c>
      <c r="C17" s="17" t="s">
        <v>30</v>
      </c>
      <c r="D17" s="18" t="s">
        <v>31</v>
      </c>
      <c r="E17" s="20" t="n">
        <f aca="false">MONTH(B6)</f>
        <v>3</v>
      </c>
    </row>
    <row r="18" customFormat="false" ht="27.75" hidden="false" customHeight="true" outlineLevel="0" collapsed="false">
      <c r="A18" s="10" t="n">
        <v>7</v>
      </c>
      <c r="B18" s="11" t="s">
        <v>32</v>
      </c>
      <c r="C18" s="12" t="s">
        <v>33</v>
      </c>
      <c r="D18" s="13" t="s">
        <v>34</v>
      </c>
      <c r="E18" s="21" t="n">
        <f aca="false">DAY(B7)</f>
        <v>27</v>
      </c>
    </row>
    <row r="19" customFormat="false" ht="27.75" hidden="false" customHeight="true" outlineLevel="0" collapsed="false">
      <c r="A19" s="15" t="n">
        <v>8</v>
      </c>
      <c r="B19" s="16" t="s">
        <v>35</v>
      </c>
      <c r="C19" s="17" t="s">
        <v>36</v>
      </c>
      <c r="D19" s="18" t="s">
        <v>37</v>
      </c>
      <c r="E19" s="20" t="n">
        <f aca="false">WEEKDAY(B7)</f>
        <v>6</v>
      </c>
    </row>
    <row r="20" customFormat="false" ht="27.75" hidden="false" customHeight="true" outlineLevel="0" collapsed="false">
      <c r="A20" s="10" t="n">
        <v>9</v>
      </c>
      <c r="B20" s="11" t="s">
        <v>38</v>
      </c>
      <c r="C20" s="12" t="s">
        <v>39</v>
      </c>
      <c r="D20" s="13" t="s">
        <v>40</v>
      </c>
      <c r="E20" s="14" t="n">
        <f aca="false">EOMONTH(B6,0)</f>
        <v>46112</v>
      </c>
    </row>
    <row r="21" customFormat="false" ht="27.75" hidden="false" customHeight="true" outlineLevel="0" collapsed="false">
      <c r="A21" s="15" t="n">
        <v>10</v>
      </c>
      <c r="B21" s="16" t="s">
        <v>41</v>
      </c>
      <c r="C21" s="17" t="s">
        <v>42</v>
      </c>
      <c r="D21" s="18" t="s">
        <v>43</v>
      </c>
      <c r="E21" s="20" t="n">
        <f aca="false">NETWORKDAYS(B6,B7)</f>
        <v>195</v>
      </c>
    </row>
    <row r="23" customFormat="false" ht="15" hidden="false" customHeight="false" outlineLevel="0" collapsed="false">
      <c r="A23" s="22" t="s">
        <v>44</v>
      </c>
      <c r="B23" s="22"/>
      <c r="C23" s="22"/>
      <c r="D23" s="22"/>
      <c r="E23" s="22"/>
    </row>
    <row r="24" customFormat="false" ht="15" hidden="false" customHeight="false" outlineLevel="0" collapsed="false">
      <c r="A24" s="23" t="s">
        <v>45</v>
      </c>
      <c r="B24" s="23"/>
      <c r="C24" s="23"/>
      <c r="D24" s="23"/>
      <c r="E24" s="23"/>
    </row>
    <row r="25" customFormat="false" ht="15" hidden="false" customHeight="false" outlineLevel="0" collapsed="false">
      <c r="A25" s="23" t="s">
        <v>46</v>
      </c>
      <c r="B25" s="23"/>
      <c r="C25" s="23"/>
      <c r="D25" s="23"/>
      <c r="E25" s="23"/>
    </row>
    <row r="26" customFormat="false" ht="15" hidden="false" customHeight="false" outlineLevel="0" collapsed="false">
      <c r="A26" s="23" t="s">
        <v>47</v>
      </c>
      <c r="B26" s="23"/>
      <c r="C26" s="23"/>
      <c r="D26" s="23"/>
      <c r="E26" s="23"/>
    </row>
    <row r="27" customFormat="false" ht="15" hidden="false" customHeight="false" outlineLevel="0" collapsed="false">
      <c r="A27" s="23" t="s">
        <v>48</v>
      </c>
      <c r="B27" s="23"/>
      <c r="C27" s="23"/>
      <c r="D27" s="23"/>
      <c r="E27" s="23"/>
    </row>
  </sheetData>
  <mergeCells count="7">
    <mergeCell ref="A1:E1"/>
    <mergeCell ref="A2:E2"/>
    <mergeCell ref="A23:E23"/>
    <mergeCell ref="A24:E24"/>
    <mergeCell ref="A25:E25"/>
    <mergeCell ref="A26:E26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2026-07-03T03:02:02Z</dcterms:created>
  <dc:creator>openpyxl</dc:creator>
  <dc:description/>
  <dc:language>en-US</dc:language>
  <cp:lastModifiedBy/>
  <dcterms:modified xsi:type="dcterms:W3CDTF">2026-07-03T03:02:02Z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