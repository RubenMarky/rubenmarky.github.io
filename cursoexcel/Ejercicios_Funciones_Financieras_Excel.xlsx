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Práctica resue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<sst xmlns="http://schemas.openxmlformats.org/spreadsheetml/2006/main" count="112" uniqueCount="102">
  <si>
    <t xml:space="preserve">Funciones financieras en Excel — Guía práctica</t>
  </si>
  <si>
    <t xml:space="preserve">Prof. Rubén Markwart — E.P.E.T. N°7 (EPJA) — Tecnicatura en Informática</t>
  </si>
  <si>
    <t xml:space="preserve">PASO 1 — Datos base (cargados y editables en la hoja "Práctica resuelta")</t>
  </si>
  <si>
    <t xml:space="preserve">Celda</t>
  </si>
  <si>
    <t xml:space="preserve">Descripción del dato</t>
  </si>
  <si>
    <t xml:space="preserve">Valor</t>
  </si>
  <si>
    <t xml:space="preserve">A2</t>
  </si>
  <si>
    <t xml:space="preserve">Monto de un préstamo para equipar un taller ($)</t>
  </si>
  <si>
    <t xml:space="preserve">2000000</t>
  </si>
  <si>
    <t xml:space="preserve">B2</t>
  </si>
  <si>
    <t xml:space="preserve">Tasa de interés mensual del préstamo</t>
  </si>
  <si>
    <t xml:space="preserve">4%</t>
  </si>
  <si>
    <t xml:space="preserve">C2</t>
  </si>
  <si>
    <t xml:space="preserve">Plazo del préstamo en meses</t>
  </si>
  <si>
    <t xml:space="preserve">24</t>
  </si>
  <si>
    <t xml:space="preserve">A3</t>
  </si>
  <si>
    <t xml:space="preserve">Aporte mensual a un plan de ahorro ($)</t>
  </si>
  <si>
    <t xml:space="preserve">50000</t>
  </si>
  <si>
    <t xml:space="preserve">B3</t>
  </si>
  <si>
    <t xml:space="preserve">Tasa mensual del plan de ahorro</t>
  </si>
  <si>
    <t xml:space="preserve">3%</t>
  </si>
  <si>
    <t xml:space="preserve">C3</t>
  </si>
  <si>
    <t xml:space="preserve">Duración del plan de ahorro en meses</t>
  </si>
  <si>
    <t xml:space="preserve">36</t>
  </si>
  <si>
    <t xml:space="preserve">A6</t>
  </si>
  <si>
    <t xml:space="preserve">Inversión inicial del proyecto (negativa: egreso)</t>
  </si>
  <si>
    <t xml:space="preserve">-1500000</t>
  </si>
  <si>
    <t xml:space="preserve">A7</t>
  </si>
  <si>
    <t xml:space="preserve">Flujo de caja del año 1</t>
  </si>
  <si>
    <t xml:space="preserve">400000</t>
  </si>
  <si>
    <t xml:space="preserve">A8</t>
  </si>
  <si>
    <t xml:space="preserve">Flujo de caja del año 2</t>
  </si>
  <si>
    <t xml:space="preserve">550000</t>
  </si>
  <si>
    <t xml:space="preserve">A9</t>
  </si>
  <si>
    <t xml:space="preserve">Flujo de caja del año 3</t>
  </si>
  <si>
    <t xml:space="preserve">650000</t>
  </si>
  <si>
    <t xml:space="preserve">A10</t>
  </si>
  <si>
    <t xml:space="preserve">Flujo de caja del año 4</t>
  </si>
  <si>
    <t xml:space="preserve">700000</t>
  </si>
  <si>
    <t xml:space="preserve">B6</t>
  </si>
  <si>
    <t xml:space="preserve">Tasa de descuento anual para evaluar el proyecto</t>
  </si>
  <si>
    <t xml:space="preserve">10%</t>
  </si>
  <si>
    <t xml:space="preserve">PASO 2 — Ejercicios: escribí cada fórmula en la celda indicada de la columna E</t>
  </si>
  <si>
    <t xml:space="preserve">Función</t>
  </si>
  <si>
    <t xml:space="preserve">Descripción / Instrucción</t>
  </si>
  <si>
    <t xml:space="preserve">Fórmula a escribir (Excel en español)</t>
  </si>
  <si>
    <t xml:space="preserve">E2</t>
  </si>
  <si>
    <t xml:space="preserve">PAGO</t>
  </si>
  <si>
    <t xml:space="preserve">Cuota mensual fija del préstamo (sistema francés). El monto en negativo para que la cuota salga positiva</t>
  </si>
  <si>
    <t xml:space="preserve">=PAGO(B2;C2;-A2)</t>
  </si>
  <si>
    <t xml:space="preserve">E3</t>
  </si>
  <si>
    <t xml:space="preserve">VA</t>
  </si>
  <si>
    <t xml:space="preserve">¿Cuánto préstamo puedo pedir hoy pagando $120.000/mes, 24 meses al 4%?</t>
  </si>
  <si>
    <t xml:space="preserve">=VA(B2;C2;-120000)</t>
  </si>
  <si>
    <t xml:space="preserve">E4</t>
  </si>
  <si>
    <t xml:space="preserve">VF</t>
  </si>
  <si>
    <t xml:space="preserve">¿Cuánto acumulo aportando $50.000/mes al 3% durante 36 meses?</t>
  </si>
  <si>
    <t xml:space="preserve">=VF(B3;C3;-A3)</t>
  </si>
  <si>
    <t xml:space="preserve">E5</t>
  </si>
  <si>
    <t xml:space="preserve">TIR</t>
  </si>
  <si>
    <t xml:space="preserve">Tasa Interna de Retorno del proyecto (inversión + 4 flujos)</t>
  </si>
  <si>
    <t xml:space="preserve">=TIR(A6:A10)</t>
  </si>
  <si>
    <t xml:space="preserve">E6</t>
  </si>
  <si>
    <t xml:space="preserve">VNA</t>
  </si>
  <si>
    <t xml:space="preserve">Valor Actual Neto al 10%: descuenta los flujos futuros y suma la inversión aparte</t>
  </si>
  <si>
    <t xml:space="preserve">=VNA(B6;A7:A10)+A6</t>
  </si>
  <si>
    <t xml:space="preserve">E7</t>
  </si>
  <si>
    <t xml:space="preserve">TASA</t>
  </si>
  <si>
    <t xml:space="preserve">¿Qué tasa mensual está implícita en 24 cuotas de $130.000 por $2.000.000?</t>
  </si>
  <si>
    <t xml:space="preserve">=TASA(C2;-130000;A2)</t>
  </si>
  <si>
    <t xml:space="preserve">E8</t>
  </si>
  <si>
    <t xml:space="preserve">NPER</t>
  </si>
  <si>
    <t xml:space="preserve">¿En cuántos meses cancelo el préstamo pagando $150.000/mes?</t>
  </si>
  <si>
    <t xml:space="preserve">=NPER(B2;-150000;A2)</t>
  </si>
  <si>
    <t xml:space="preserve">E9</t>
  </si>
  <si>
    <t xml:space="preserve">INT.PAGO.DIR</t>
  </si>
  <si>
    <t xml:space="preserve">Interés del primer período bajo amortización directa (capital en partes iguales)</t>
  </si>
  <si>
    <t xml:space="preserve">=INT.PAGO.DIR(B2;1;C2;A2)</t>
  </si>
  <si>
    <t xml:space="preserve">NOTAS:</t>
  </si>
  <si>
    <t xml:space="preserve">• Convención de signos: el dinero que sale de tu bolsillo va en negativo, el que entra en positivo. Si un resultado da "al revés", casi siempre es esto.</t>
  </si>
  <si>
    <t xml:space="preserve">• Trampa clásica de VNA: asume que el primer flujo del rango ocurre al final del período 1. La inversión inicial (hoy, período 0) nunca va dentro del rango: se suma afuera.</t>
  </si>
  <si>
    <t xml:space="preserve">• TIR vs VNA: la TIR (≈19%) es la tasa que haría el VNA igual a cero. Como 19% &gt; 10%, el VNA da positivo y el proyecto es viable.</t>
  </si>
  <si>
    <t xml:space="preserve">• Coherencia de unidades: tasa mensual con plazo en meses; tasa anual con plazo en años. Mezclarlas es el error número uno.</t>
  </si>
  <si>
    <t xml:space="preserve">• Si TIR o TASA muestran "0,19" en vez de "19%", es solo formato: aplicá formato de porcentaje con 2 decimales.</t>
  </si>
  <si>
    <t xml:space="preserve">Préstamo y ahorro</t>
  </si>
  <si>
    <t xml:space="preserve">Resultado</t>
  </si>
  <si>
    <t xml:space="preserve">Qué calcula</t>
  </si>
  <si>
    <t xml:space="preserve">Cuota mensual del préstamo</t>
  </si>
  <si>
    <t xml:space="preserve">Préstamo máximo pagando $120.000/mes</t>
  </si>
  <si>
    <t xml:space="preserve">Acumulado del plan de ahorro</t>
  </si>
  <si>
    <t xml:space="preserve">Proyecto de inversión</t>
  </si>
  <si>
    <t xml:space="preserve">Tasa interna de retorno del proyecto</t>
  </si>
  <si>
    <t xml:space="preserve">Inversión inicial</t>
  </si>
  <si>
    <t xml:space="preserve">Valor actual neto al 10%</t>
  </si>
  <si>
    <t xml:space="preserve">← Tasa arriba</t>
  </si>
  <si>
    <t xml:space="preserve">Flujo año 1</t>
  </si>
  <si>
    <t xml:space="preserve">Tasa implícita en cuotas de $130.000</t>
  </si>
  <si>
    <t xml:space="preserve">Flujo año 2</t>
  </si>
  <si>
    <t xml:space="preserve">Meses para cancelar pagando $150.000</t>
  </si>
  <si>
    <t xml:space="preserve">Flujo año 3</t>
  </si>
  <si>
    <t xml:space="preserve">Interés del 1er período (amort. directa)</t>
  </si>
  <si>
    <t xml:space="preserve">Flujo año 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</si>
</sst>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$ &quot;#,##0"/>
    <numFmt numFmtId="166" formatCode="0.00%"/>
    <numFmt numFmtId="167" formatCode="0"/>
    <numFmt numFmtId="168" formatCode="&quot;$ &quot;#,##0;&quot;($ &quot;#,##0\)"/>
    <numFmt numFmtId="169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b val="true"/>
      <sz val="11"/>
      <color rgb="FF0C447C"/>
      <name val="Courier New"/>
      <family val="0"/>
      <charset val="1"/>
    </font>
    <font>
      <b val="true"/>
      <sz val="9"/>
      <color rgb="FF2F6B4F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5F4EC"/>
      </patternFill>
    </fill>
    <fill>
      <patternFill patternType="solid">
        <fgColor rgb="FFF5F4EC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888888"/>
      <rgbColor rgb="FF9999FF"/>
      <rgbColor rgb="FF993366"/>
      <rgbColor rgb="FFF5F4E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15" hidden="false" customHeight="false" outlineLevel="0" collapsed="false">
      <c r="A7" s="8" t="s">
        <v>9</v>
      </c>
      <c r="B7" s="9" t="s">
        <v>10</v>
      </c>
      <c r="C7" s="10" t="s">
        <v>11</v>
      </c>
    </row>
    <row r="8" customFormat="false" ht="15" hidden="false" customHeight="false" outlineLevel="0" collapsed="false">
      <c r="A8" s="5" t="s">
        <v>12</v>
      </c>
      <c r="B8" s="6" t="s">
        <v>13</v>
      </c>
      <c r="C8" s="7" t="s">
        <v>14</v>
      </c>
    </row>
    <row r="9" customFormat="false" ht="15" hidden="false" customHeight="false" outlineLevel="0" collapsed="false">
      <c r="A9" s="8" t="s">
        <v>15</v>
      </c>
      <c r="B9" s="9" t="s">
        <v>16</v>
      </c>
      <c r="C9" s="10" t="s">
        <v>17</v>
      </c>
    </row>
    <row r="10" customFormat="false" ht="15" hidden="false" customHeight="false" outlineLevel="0" collapsed="false">
      <c r="A10" s="5" t="s">
        <v>18</v>
      </c>
      <c r="B10" s="6" t="s">
        <v>19</v>
      </c>
      <c r="C10" s="7" t="s">
        <v>20</v>
      </c>
    </row>
    <row r="11" customFormat="false" ht="15" hidden="false" customHeight="false" outlineLevel="0" collapsed="false">
      <c r="A11" s="8" t="s">
        <v>21</v>
      </c>
      <c r="B11" s="9" t="s">
        <v>22</v>
      </c>
      <c r="C11" s="10" t="s">
        <v>23</v>
      </c>
    </row>
    <row r="12" customFormat="false" ht="15" hidden="false" customHeight="false" outlineLevel="0" collapsed="false">
      <c r="A12" s="5" t="s">
        <v>24</v>
      </c>
      <c r="B12" s="6" t="s">
        <v>25</v>
      </c>
      <c r="C12" s="7" t="s">
        <v>26</v>
      </c>
    </row>
    <row r="13" customFormat="false" ht="15" hidden="false" customHeight="false" outlineLevel="0" collapsed="false">
      <c r="A13" s="8" t="s">
        <v>27</v>
      </c>
      <c r="B13" s="9" t="s">
        <v>28</v>
      </c>
      <c r="C13" s="10" t="s">
        <v>29</v>
      </c>
    </row>
    <row r="14" customFormat="false" ht="15" hidden="false" customHeight="false" outlineLevel="0" collapsed="false">
      <c r="A14" s="5" t="s">
        <v>30</v>
      </c>
      <c r="B14" s="6" t="s">
        <v>31</v>
      </c>
      <c r="C14" s="7" t="s">
        <v>32</v>
      </c>
    </row>
    <row r="15" customFormat="false" ht="15" hidden="false" customHeight="false" outlineLevel="0" collapsed="false">
      <c r="A15" s="8" t="s">
        <v>33</v>
      </c>
      <c r="B15" s="9" t="s">
        <v>34</v>
      </c>
      <c r="C15" s="10" t="s">
        <v>35</v>
      </c>
    </row>
    <row r="16" customFormat="false" ht="15" hidden="false" customHeight="false" outlineLevel="0" collapsed="false">
      <c r="A16" s="5" t="s">
        <v>36</v>
      </c>
      <c r="B16" s="6" t="s">
        <v>37</v>
      </c>
      <c r="C16" s="7" t="s">
        <v>38</v>
      </c>
    </row>
    <row r="17" customFormat="false" ht="15" hidden="false" customHeight="false" outlineLevel="0" collapsed="false">
      <c r="A17" s="8" t="s">
        <v>39</v>
      </c>
      <c r="B17" s="9" t="s">
        <v>40</v>
      </c>
      <c r="C17" s="10" t="s">
        <v>41</v>
      </c>
    </row>
    <row r="19" customFormat="false" ht="15" hidden="false" customHeight="false" outlineLevel="0" collapsed="false">
      <c r="A19" s="3" t="s">
        <v>42</v>
      </c>
    </row>
    <row r="20" customFormat="false" ht="26.85" hidden="false" customHeight="false" outlineLevel="0" collapsed="false">
      <c r="A20" s="11" t="s">
        <v>3</v>
      </c>
      <c r="B20" s="11" t="s">
        <v>43</v>
      </c>
      <c r="C20" s="11" t="s">
        <v>44</v>
      </c>
      <c r="D20" s="11" t="s">
        <v>45</v>
      </c>
    </row>
    <row r="21" customFormat="false" ht="27.75" hidden="false" customHeight="true" outlineLevel="0" collapsed="false">
      <c r="A21" s="12" t="s">
        <v>46</v>
      </c>
      <c r="B21" s="13" t="s">
        <v>47</v>
      </c>
      <c r="C21" s="14" t="s">
        <v>48</v>
      </c>
      <c r="D21" s="15" t="s">
        <v>49</v>
      </c>
    </row>
    <row r="22" customFormat="false" ht="27.75" hidden="false" customHeight="true" outlineLevel="0" collapsed="false">
      <c r="A22" s="16" t="s">
        <v>50</v>
      </c>
      <c r="B22" s="17" t="s">
        <v>51</v>
      </c>
      <c r="C22" s="18" t="s">
        <v>52</v>
      </c>
      <c r="D22" s="19" t="s">
        <v>53</v>
      </c>
    </row>
    <row r="23" customFormat="false" ht="27.75" hidden="false" customHeight="true" outlineLevel="0" collapsed="false">
      <c r="A23" s="12" t="s">
        <v>54</v>
      </c>
      <c r="B23" s="13" t="s">
        <v>55</v>
      </c>
      <c r="C23" s="14" t="s">
        <v>56</v>
      </c>
      <c r="D23" s="15" t="s">
        <v>57</v>
      </c>
    </row>
    <row r="24" customFormat="false" ht="27.75" hidden="false" customHeight="true" outlineLevel="0" collapsed="false">
      <c r="A24" s="16" t="s">
        <v>58</v>
      </c>
      <c r="B24" s="17" t="s">
        <v>59</v>
      </c>
      <c r="C24" s="18" t="s">
        <v>60</v>
      </c>
      <c r="D24" s="19" t="s">
        <v>61</v>
      </c>
    </row>
    <row r="25" customFormat="false" ht="27.75" hidden="false" customHeight="true" outlineLevel="0" collapsed="false">
      <c r="A25" s="12" t="s">
        <v>62</v>
      </c>
      <c r="B25" s="13" t="s">
        <v>63</v>
      </c>
      <c r="C25" s="14" t="s">
        <v>64</v>
      </c>
      <c r="D25" s="15" t="s">
        <v>65</v>
      </c>
    </row>
    <row r="26" customFormat="false" ht="27.75" hidden="false" customHeight="true" outlineLevel="0" collapsed="false">
      <c r="A26" s="16" t="s">
        <v>66</v>
      </c>
      <c r="B26" s="17" t="s">
        <v>67</v>
      </c>
      <c r="C26" s="18" t="s">
        <v>68</v>
      </c>
      <c r="D26" s="19" t="s">
        <v>69</v>
      </c>
    </row>
    <row r="27" customFormat="false" ht="27.75" hidden="false" customHeight="true" outlineLevel="0" collapsed="false">
      <c r="A27" s="12" t="s">
        <v>70</v>
      </c>
      <c r="B27" s="13" t="s">
        <v>71</v>
      </c>
      <c r="C27" s="14" t="s">
        <v>72</v>
      </c>
      <c r="D27" s="15" t="s">
        <v>73</v>
      </c>
    </row>
    <row r="28" customFormat="false" ht="27.75" hidden="false" customHeight="true" outlineLevel="0" collapsed="false">
      <c r="A28" s="16" t="s">
        <v>74</v>
      </c>
      <c r="B28" s="17" t="s">
        <v>75</v>
      </c>
      <c r="C28" s="18" t="s">
        <v>76</v>
      </c>
      <c r="D28" s="19" t="s">
        <v>77</v>
      </c>
    </row>
    <row r="30" customFormat="false" ht="15" hidden="false" customHeight="false" outlineLevel="0" collapsed="false">
      <c r="A30" s="20" t="s">
        <v>78</v>
      </c>
      <c r="B30" s="20"/>
      <c r="C30" s="20"/>
      <c r="D30" s="20"/>
    </row>
    <row r="31" customFormat="false" ht="15" hidden="false" customHeight="false" outlineLevel="0" collapsed="false">
      <c r="A31" s="21" t="s">
        <v>79</v>
      </c>
      <c r="B31" s="21"/>
      <c r="C31" s="21"/>
      <c r="D31" s="21"/>
    </row>
    <row r="32" customFormat="false" ht="15" hidden="false" customHeight="false" outlineLevel="0" collapsed="false">
      <c r="A32" s="21" t="s">
        <v>80</v>
      </c>
      <c r="B32" s="21"/>
      <c r="C32" s="21"/>
      <c r="D32" s="21"/>
    </row>
    <row r="33" customFormat="false" ht="15" hidden="false" customHeight="false" outlineLevel="0" collapsed="false">
      <c r="A33" s="21" t="s">
        <v>81</v>
      </c>
      <c r="B33" s="21"/>
      <c r="C33" s="21"/>
      <c r="D33" s="21"/>
    </row>
    <row r="34" customFormat="false" ht="15" hidden="false" customHeight="false" outlineLevel="0" collapsed="false">
      <c r="A34" s="21" t="s">
        <v>82</v>
      </c>
      <c r="B34" s="21"/>
      <c r="C34" s="21"/>
      <c r="D34" s="21"/>
    </row>
    <row r="35" customFormat="false" ht="15" hidden="false" customHeight="false" outlineLevel="0" collapsed="false">
      <c r="A35" s="21" t="s">
        <v>83</v>
      </c>
      <c r="B35" s="21"/>
      <c r="C35" s="21"/>
      <c r="D35" s="21"/>
    </row>
  </sheetData>
  <mergeCells count="8">
    <mergeCell ref="A1:D1"/>
    <mergeCell ref="A2:D2"/>
    <mergeCell ref="A30:D30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5" style="0" width="16"/>
    <col collapsed="false" customWidth="true" hidden="false" outlineLevel="0" max="7" min="7" style="0" width="38"/>
  </cols>
  <sheetData>
    <row r="1" customFormat="false" ht="15" hidden="false" customHeight="false" outlineLevel="0" collapsed="false">
      <c r="A1" s="4" t="s">
        <v>84</v>
      </c>
      <c r="B1" s="4"/>
      <c r="C1" s="4"/>
      <c r="E1" s="4" t="s">
        <v>85</v>
      </c>
      <c r="F1" s="4" t="s">
        <v>43</v>
      </c>
      <c r="G1" s="4" t="s">
        <v>86</v>
      </c>
    </row>
    <row r="2" customFormat="false" ht="15" hidden="false" customHeight="false" outlineLevel="0" collapsed="false">
      <c r="A2" s="22" t="n">
        <v>2000000</v>
      </c>
      <c r="B2" s="23" t="n">
        <v>0.04</v>
      </c>
      <c r="C2" s="24" t="n">
        <v>24</v>
      </c>
      <c r="E2" s="25" t="n">
        <f aca="false">PMT(B2,C2,-A2)</f>
        <v>131173.662679738</v>
      </c>
      <c r="F2" s="26" t="s">
        <v>47</v>
      </c>
      <c r="G2" s="27" t="s">
        <v>87</v>
      </c>
    </row>
    <row r="3" customFormat="false" ht="15" hidden="false" customHeight="false" outlineLevel="0" collapsed="false">
      <c r="A3" s="22" t="n">
        <v>50000</v>
      </c>
      <c r="B3" s="23" t="n">
        <v>0.03</v>
      </c>
      <c r="C3" s="24" t="n">
        <v>36</v>
      </c>
      <c r="E3" s="25" t="n">
        <f aca="false">PV(B2,C2,-120000)</f>
        <v>1829635.57696763</v>
      </c>
      <c r="F3" s="26" t="s">
        <v>51</v>
      </c>
      <c r="G3" s="27" t="s">
        <v>88</v>
      </c>
    </row>
    <row r="4" customFormat="false" ht="15" hidden="false" customHeight="false" outlineLevel="0" collapsed="false">
      <c r="E4" s="25" t="n">
        <f aca="false">FV(B3,C3,-A3)</f>
        <v>3163797.21333779</v>
      </c>
      <c r="F4" s="26" t="s">
        <v>55</v>
      </c>
      <c r="G4" s="27" t="s">
        <v>89</v>
      </c>
    </row>
    <row r="5" customFormat="false" ht="15" hidden="false" customHeight="false" outlineLevel="0" collapsed="false">
      <c r="A5" s="4" t="s">
        <v>90</v>
      </c>
      <c r="B5" s="4"/>
      <c r="E5" s="28" t="n">
        <f aca="false">IRR(A6:A10)</f>
        <v>0.177079195617929</v>
      </c>
      <c r="F5" s="26" t="s">
        <v>59</v>
      </c>
      <c r="G5" s="27" t="s">
        <v>91</v>
      </c>
    </row>
    <row r="6" customFormat="false" ht="15" hidden="false" customHeight="false" outlineLevel="0" collapsed="false">
      <c r="A6" s="29" t="n">
        <v>-1500000</v>
      </c>
      <c r="B6" s="30" t="n">
        <v>0.1</v>
      </c>
      <c r="C6" s="31" t="s">
        <v>92</v>
      </c>
      <c r="E6" s="32" t="n">
        <f aca="false">NPV(B6,A7:A10)+A6</f>
        <v>284645.857523393</v>
      </c>
      <c r="F6" s="26" t="s">
        <v>63</v>
      </c>
      <c r="G6" s="27" t="s">
        <v>93</v>
      </c>
    </row>
    <row r="7" customFormat="false" ht="15" hidden="false" customHeight="false" outlineLevel="0" collapsed="false">
      <c r="A7" s="29" t="n">
        <v>400000</v>
      </c>
      <c r="B7" s="33" t="s">
        <v>94</v>
      </c>
      <c r="C7" s="31" t="s">
        <v>95</v>
      </c>
      <c r="E7" s="28" t="n">
        <f aca="false">RATE(C2,-130000,A2)</f>
        <v>0.0391241183813849</v>
      </c>
      <c r="F7" s="26" t="s">
        <v>67</v>
      </c>
      <c r="G7" s="27" t="s">
        <v>96</v>
      </c>
    </row>
    <row r="8" customFormat="false" ht="15" hidden="false" customHeight="false" outlineLevel="0" collapsed="false">
      <c r="A8" s="29" t="n">
        <v>550000</v>
      </c>
      <c r="C8" s="31" t="s">
        <v>97</v>
      </c>
      <c r="E8" s="34" t="n">
        <f aca="false">NPER(B2,-150000,A2)</f>
        <v>19.4320804180261</v>
      </c>
      <c r="F8" s="26" t="s">
        <v>71</v>
      </c>
      <c r="G8" s="27" t="s">
        <v>98</v>
      </c>
    </row>
    <row r="9" customFormat="false" ht="15" hidden="false" customHeight="false" outlineLevel="0" collapsed="false">
      <c r="A9" s="29" t="n">
        <v>650000</v>
      </c>
      <c r="C9" s="31" t="s">
        <v>99</v>
      </c>
      <c r="E9" s="32" t="n">
        <f aca="false">ISPMT(B2,1,C2,A2)</f>
        <v>-76666.6666666667</v>
      </c>
      <c r="F9" s="26" t="s">
        <v>75</v>
      </c>
      <c r="G9" s="27" t="s">
        <v>100</v>
      </c>
    </row>
    <row r="10" customFormat="false" ht="15" hidden="false" customHeight="false" outlineLevel="0" collapsed="false">
      <c r="A10" s="29" t="n">
        <v>700000</v>
      </c>
      <c r="C10" s="31" t="s">
        <v>101</v>
      </c>
    </row>
  </sheetData>
  <mergeCells count="2">
    <mergeCell ref="A1:C1"/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2026-07-03T03:26:53Z</dcterms:created>
  <dc:creator>openpyxl</dc:creator>
  <dc:description/>
  <dc:language>en-US</dc:language>
  <cp:lastModifiedBy/>
  <dcterms:modified xsi:type="dcterms:W3CDTF">2026-07-03T03:26:53Z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