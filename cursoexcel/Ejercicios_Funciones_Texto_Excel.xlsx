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Práctica resuel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<sst xmlns="http://schemas.openxmlformats.org/spreadsheetml/2006/main" count="91" uniqueCount="76">
  <si>
    <t xml:space="preserve">Funciones de texto en Excel — Guía práctica</t>
  </si>
  <si>
    <t xml:space="preserve">Prof. Rubén Markwart — E.P.E.T. N°7 (EPJA) — Tecnicatura en Informática</t>
  </si>
  <si>
    <t xml:space="preserve">PASO 1 — Cargar los datos base (respetá minúsculas y guiones: son "datos sucios" a propósito)</t>
  </si>
  <si>
    <t xml:space="preserve">Celda</t>
  </si>
  <si>
    <t xml:space="preserve">Descripción del dato</t>
  </si>
  <si>
    <t xml:space="preserve">Valor</t>
  </si>
  <si>
    <t xml:space="preserve">A2</t>
  </si>
  <si>
    <t xml:space="preserve">Código de legajo (provincia-año-número)</t>
  </si>
  <si>
    <t xml:space="preserve">MIS-2026-0457</t>
  </si>
  <si>
    <t xml:space="preserve">A3</t>
  </si>
  <si>
    <t xml:space="preserve">Correo institucional de un docente</t>
  </si>
  <si>
    <t xml:space="preserve">rmarkwart@epet7.edu.ar</t>
  </si>
  <si>
    <t xml:space="preserve">A4</t>
  </si>
  <si>
    <t xml:space="preserve">Nombre mal cargado (todo en minúsculas)</t>
  </si>
  <si>
    <t xml:space="preserve">juan carlos benítez</t>
  </si>
  <si>
    <t xml:space="preserve">A5</t>
  </si>
  <si>
    <t xml:space="preserve">Institución mal cargada</t>
  </si>
  <si>
    <t xml:space="preserve">escuela provincial de educación técnica</t>
  </si>
  <si>
    <t xml:space="preserve">PASO 2 — Ejercicios: escribí cada fórmula en la celda indicada de la columna B</t>
  </si>
  <si>
    <t xml:space="preserve">Función</t>
  </si>
  <si>
    <t xml:space="preserve">Descripción / Instrucción</t>
  </si>
  <si>
    <t xml:space="preserve">Fórmula a escribir (Excel en español)</t>
  </si>
  <si>
    <t xml:space="preserve">B2</t>
  </si>
  <si>
    <t xml:space="preserve">IZQUIERDA</t>
  </si>
  <si>
    <t xml:space="preserve">Extraer el código de provincia (primeros 3 caracteres) del legajo A2</t>
  </si>
  <si>
    <t xml:space="preserve">=IZQUIERDA(A2;3)</t>
  </si>
  <si>
    <t xml:space="preserve">B3</t>
  </si>
  <si>
    <t xml:space="preserve">DERECHA</t>
  </si>
  <si>
    <t xml:space="preserve">Extraer el número de estudiante (últimos 4 caracteres) del legajo A2</t>
  </si>
  <si>
    <t xml:space="preserve">=DERECHA(A2;4)</t>
  </si>
  <si>
    <t xml:space="preserve">B4</t>
  </si>
  <si>
    <t xml:space="preserve">EXTRAE</t>
  </si>
  <si>
    <t xml:space="preserve">Extraer el año del legajo A2 (posición 5, 4 caracteres)</t>
  </si>
  <si>
    <t xml:space="preserve">=EXTRAE(A2;5;4)</t>
  </si>
  <si>
    <t xml:space="preserve">B5</t>
  </si>
  <si>
    <t xml:space="preserve">LARGO</t>
  </si>
  <si>
    <t xml:space="preserve">Contar los caracteres del correo A3</t>
  </si>
  <si>
    <t xml:space="preserve">=LARGO(A3)</t>
  </si>
  <si>
    <t xml:space="preserve">B6</t>
  </si>
  <si>
    <t xml:space="preserve">ENCONTRAR</t>
  </si>
  <si>
    <t xml:space="preserve">Posición del símbolo @ en el correo A3</t>
  </si>
  <si>
    <t xml:space="preserve">=ENCONTRAR("@";A3)</t>
  </si>
  <si>
    <t xml:space="preserve">B7</t>
  </si>
  <si>
    <t xml:space="preserve">MAYUSC</t>
  </si>
  <si>
    <t xml:space="preserve">Nombre de A4 a mayúsculas (formato para actas)</t>
  </si>
  <si>
    <t xml:space="preserve">=MAYUSC(A4)</t>
  </si>
  <si>
    <t xml:space="preserve">B8</t>
  </si>
  <si>
    <t xml:space="preserve">MINUSC</t>
  </si>
  <si>
    <t xml:space="preserve">Correo de A3 a minúsculas (normalización)</t>
  </si>
  <si>
    <t xml:space="preserve">=MINUSC(A3)</t>
  </si>
  <si>
    <t xml:space="preserve">B9</t>
  </si>
  <si>
    <t xml:space="preserve">NOMPROPIO</t>
  </si>
  <si>
    <t xml:space="preserve">Corregir el nombre de A4 con inicial mayúscula en cada palabra</t>
  </si>
  <si>
    <t xml:space="preserve">=NOMPROPIO(A4)</t>
  </si>
  <si>
    <t xml:space="preserve">B10</t>
  </si>
  <si>
    <t xml:space="preserve">BONUS</t>
  </si>
  <si>
    <t xml:space="preserve">Extraer el usuario del correo (antes del @) combinando dos funciones</t>
  </si>
  <si>
    <t xml:space="preserve">=IZQUIERDA(A3;ENCONTRAR("@";A3)-1)</t>
  </si>
  <si>
    <t xml:space="preserve">NOTAS:</t>
  </si>
  <si>
    <t xml:space="preserve">• EXTRAE cuenta las posiciones desde 1, no desde 0. En "MIS-2026-0457", la M es la posición 1 y el año arranca en la 5.</t>
  </si>
  <si>
    <t xml:space="preserve">• ENCONTRAR distingue mayúsculas de minúsculas. Su prima HALLAR hace lo mismo sin distinguirlas.</t>
  </si>
  <si>
    <t xml:space="preserve">• LARGO cuenta todo: letras, números, puntos y espacios. Sirve para detectar espacios invisibles al importar datos (comparando con ESPACIOS).</t>
  </si>
  <si>
    <t xml:space="preserve">• NOMPROPIO capitaliza cada palabra, incluso las que no debería ("De", "La"). Para apellidos como "da silva" hay que corregir a mano.</t>
  </si>
  <si>
    <t xml:space="preserve">• El patrón del bonus (IZQUIERDA + ENCONTRAR) es de los más usados en limpieza de datos reales.</t>
  </si>
  <si>
    <t xml:space="preserve">Dato base (editable)</t>
  </si>
  <si>
    <t xml:space="preserve">Resultado</t>
  </si>
  <si>
    <t xml:space="preserve">Qué hace</t>
  </si>
  <si>
    <t xml:space="preserve">Código de provincia del legajo A2</t>
  </si>
  <si>
    <t xml:space="preserve">Número de estudiante del legajo A2</t>
  </si>
  <si>
    <t xml:space="preserve">Año del legajo A2 (posición 5, largo 4)</t>
  </si>
  <si>
    <t xml:space="preserve">Caracteres del correo A3</t>
  </si>
  <si>
    <t xml:space="preserve">Posición del @ en A3</t>
  </si>
  <si>
    <t xml:space="preserve">Nombre A4 en mayúsculas</t>
  </si>
  <si>
    <t xml:space="preserve">Correo A3 en minúsculas</t>
  </si>
  <si>
    <t xml:space="preserve">Nombre A4 con iniciales mayúsculas</t>
  </si>
  <si>
    <t xml:space="preserve">Usuario del correo (antes del @)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</si>
</sst>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F6B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Courier New"/>
      <family val="0"/>
      <charset val="1"/>
    </font>
    <font>
      <b val="true"/>
      <sz val="11"/>
      <color rgb="FF2F6B4F"/>
      <name val="Arial"/>
      <family val="0"/>
      <charset val="1"/>
    </font>
    <font>
      <b val="true"/>
      <sz val="11"/>
      <color rgb="FF0C447C"/>
      <name val="Courier New"/>
      <family val="0"/>
      <charset val="1"/>
    </font>
    <font>
      <b val="true"/>
      <sz val="9"/>
      <color rgb="FF2F6B4F"/>
      <name val="Arial"/>
      <family val="0"/>
      <charset val="1"/>
    </font>
    <font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6B4F"/>
        <bgColor rgb="FF555555"/>
      </patternFill>
    </fill>
    <fill>
      <patternFill patternType="solid">
        <fgColor rgb="FFE8F1EC"/>
        <bgColor rgb="FFF5F4EC"/>
      </patternFill>
    </fill>
    <fill>
      <patternFill patternType="solid">
        <fgColor rgb="FFF5F4EC"/>
        <bgColor rgb="FFE8F1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BBF"/>
      </left>
      <right style="thin">
        <color rgb="FFB7CBBF"/>
      </right>
      <top style="thin">
        <color rgb="FFB7CBBF"/>
      </top>
      <bottom style="thin">
        <color rgb="FFB7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7CBBF"/>
      <rgbColor rgb="FF808080"/>
      <rgbColor rgb="FF9999FF"/>
      <rgbColor rgb="FF993366"/>
      <rgbColor rgb="FFF5F4EC"/>
      <rgbColor rgb="FFE8F1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  <c r="C6" s="7" t="s">
        <v>8</v>
      </c>
    </row>
    <row r="7" customFormat="false" ht="15" hidden="false" customHeight="false" outlineLevel="0" collapsed="false">
      <c r="A7" s="8" t="s">
        <v>9</v>
      </c>
      <c r="B7" s="9" t="s">
        <v>10</v>
      </c>
      <c r="C7" s="10" t="s">
        <v>11</v>
      </c>
    </row>
    <row r="8" customFormat="false" ht="15" hidden="false" customHeight="false" outlineLevel="0" collapsed="false">
      <c r="A8" s="5" t="s">
        <v>12</v>
      </c>
      <c r="B8" s="6" t="s">
        <v>13</v>
      </c>
      <c r="C8" s="7" t="s">
        <v>14</v>
      </c>
    </row>
    <row r="9" customFormat="false" ht="15" hidden="false" customHeight="false" outlineLevel="0" collapsed="false">
      <c r="A9" s="8" t="s">
        <v>15</v>
      </c>
      <c r="B9" s="9" t="s">
        <v>16</v>
      </c>
      <c r="C9" s="10" t="s">
        <v>17</v>
      </c>
    </row>
    <row r="11" customFormat="false" ht="15" hidden="false" customHeight="false" outlineLevel="0" collapsed="false">
      <c r="A11" s="3" t="s">
        <v>18</v>
      </c>
    </row>
    <row r="12" customFormat="false" ht="15" hidden="false" customHeight="false" outlineLevel="0" collapsed="false">
      <c r="A12" s="11" t="s">
        <v>3</v>
      </c>
      <c r="B12" s="11" t="s">
        <v>19</v>
      </c>
      <c r="C12" s="11" t="s">
        <v>20</v>
      </c>
      <c r="D12" s="11" t="s">
        <v>21</v>
      </c>
    </row>
    <row r="13" customFormat="false" ht="25.5" hidden="false" customHeight="true" outlineLevel="0" collapsed="false">
      <c r="A13" s="12" t="s">
        <v>22</v>
      </c>
      <c r="B13" s="13" t="s">
        <v>23</v>
      </c>
      <c r="C13" s="14" t="s">
        <v>24</v>
      </c>
      <c r="D13" s="15" t="s">
        <v>25</v>
      </c>
    </row>
    <row r="14" customFormat="false" ht="25.5" hidden="false" customHeight="true" outlineLevel="0" collapsed="false">
      <c r="A14" s="16" t="s">
        <v>26</v>
      </c>
      <c r="B14" s="17" t="s">
        <v>27</v>
      </c>
      <c r="C14" s="18" t="s">
        <v>28</v>
      </c>
      <c r="D14" s="19" t="s">
        <v>29</v>
      </c>
    </row>
    <row r="15" customFormat="false" ht="25.5" hidden="false" customHeight="true" outlineLevel="0" collapsed="false">
      <c r="A15" s="12" t="s">
        <v>30</v>
      </c>
      <c r="B15" s="13" t="s">
        <v>31</v>
      </c>
      <c r="C15" s="14" t="s">
        <v>32</v>
      </c>
      <c r="D15" s="15" t="s">
        <v>33</v>
      </c>
    </row>
    <row r="16" customFormat="false" ht="25.5" hidden="false" customHeight="true" outlineLevel="0" collapsed="false">
      <c r="A16" s="16" t="s">
        <v>34</v>
      </c>
      <c r="B16" s="17" t="s">
        <v>35</v>
      </c>
      <c r="C16" s="18" t="s">
        <v>36</v>
      </c>
      <c r="D16" s="19" t="s">
        <v>37</v>
      </c>
    </row>
    <row r="17" customFormat="false" ht="25.5" hidden="false" customHeight="true" outlineLevel="0" collapsed="false">
      <c r="A17" s="12" t="s">
        <v>38</v>
      </c>
      <c r="B17" s="13" t="s">
        <v>39</v>
      </c>
      <c r="C17" s="14" t="s">
        <v>40</v>
      </c>
      <c r="D17" s="15" t="s">
        <v>41</v>
      </c>
    </row>
    <row r="18" customFormat="false" ht="25.5" hidden="false" customHeight="true" outlineLevel="0" collapsed="false">
      <c r="A18" s="16" t="s">
        <v>42</v>
      </c>
      <c r="B18" s="17" t="s">
        <v>43</v>
      </c>
      <c r="C18" s="18" t="s">
        <v>44</v>
      </c>
      <c r="D18" s="19" t="s">
        <v>45</v>
      </c>
    </row>
    <row r="19" customFormat="false" ht="25.5" hidden="false" customHeight="true" outlineLevel="0" collapsed="false">
      <c r="A19" s="12" t="s">
        <v>46</v>
      </c>
      <c r="B19" s="13" t="s">
        <v>47</v>
      </c>
      <c r="C19" s="14" t="s">
        <v>48</v>
      </c>
      <c r="D19" s="15" t="s">
        <v>49</v>
      </c>
    </row>
    <row r="20" customFormat="false" ht="25.5" hidden="false" customHeight="true" outlineLevel="0" collapsed="false">
      <c r="A20" s="16" t="s">
        <v>50</v>
      </c>
      <c r="B20" s="17" t="s">
        <v>51</v>
      </c>
      <c r="C20" s="18" t="s">
        <v>52</v>
      </c>
      <c r="D20" s="19" t="s">
        <v>53</v>
      </c>
    </row>
    <row r="21" customFormat="false" ht="25.5" hidden="false" customHeight="true" outlineLevel="0" collapsed="false">
      <c r="A21" s="12" t="s">
        <v>54</v>
      </c>
      <c r="B21" s="13" t="s">
        <v>55</v>
      </c>
      <c r="C21" s="14" t="s">
        <v>56</v>
      </c>
      <c r="D21" s="15" t="s">
        <v>57</v>
      </c>
    </row>
    <row r="23" customFormat="false" ht="15" hidden="false" customHeight="false" outlineLevel="0" collapsed="false">
      <c r="A23" s="20" t="s">
        <v>58</v>
      </c>
      <c r="B23" s="20"/>
      <c r="C23" s="20"/>
      <c r="D23" s="20"/>
    </row>
    <row r="24" customFormat="false" ht="15" hidden="false" customHeight="false" outlineLevel="0" collapsed="false">
      <c r="A24" s="21" t="s">
        <v>59</v>
      </c>
      <c r="B24" s="21"/>
      <c r="C24" s="21"/>
      <c r="D24" s="21"/>
    </row>
    <row r="25" customFormat="false" ht="15" hidden="false" customHeight="false" outlineLevel="0" collapsed="false">
      <c r="A25" s="21" t="s">
        <v>60</v>
      </c>
      <c r="B25" s="21"/>
      <c r="C25" s="21"/>
      <c r="D25" s="21"/>
    </row>
    <row r="26" customFormat="false" ht="15" hidden="false" customHeight="false" outlineLevel="0" collapsed="false">
      <c r="A26" s="21" t="s">
        <v>61</v>
      </c>
      <c r="B26" s="21"/>
      <c r="C26" s="21"/>
      <c r="D26" s="21"/>
    </row>
    <row r="27" customFormat="false" ht="15" hidden="false" customHeight="false" outlineLevel="0" collapsed="false">
      <c r="A27" s="21" t="s">
        <v>62</v>
      </c>
      <c r="B27" s="21"/>
      <c r="C27" s="21"/>
      <c r="D27" s="21"/>
    </row>
    <row r="28" customFormat="false" ht="15" hidden="false" customHeight="false" outlineLevel="0" collapsed="false">
      <c r="A28" s="21" t="s">
        <v>63</v>
      </c>
      <c r="B28" s="21"/>
      <c r="C28" s="21"/>
      <c r="D28" s="21"/>
    </row>
  </sheetData>
  <mergeCells count="8">
    <mergeCell ref="A1:D1"/>
    <mergeCell ref="A2:D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4" t="s">
        <v>64</v>
      </c>
      <c r="B1" s="4" t="s">
        <v>65</v>
      </c>
      <c r="C1" s="4" t="s">
        <v>19</v>
      </c>
      <c r="D1" s="4" t="s">
        <v>66</v>
      </c>
    </row>
    <row r="2" customFormat="false" ht="15" hidden="false" customHeight="false" outlineLevel="0" collapsed="false">
      <c r="A2" s="10" t="s">
        <v>8</v>
      </c>
      <c r="B2" s="22" t="str">
        <f aca="false">LEFT(A2,3)</f>
        <v>MIS</v>
      </c>
      <c r="C2" s="23" t="s">
        <v>23</v>
      </c>
      <c r="D2" s="24" t="s">
        <v>67</v>
      </c>
    </row>
    <row r="3" customFormat="false" ht="15" hidden="false" customHeight="false" outlineLevel="0" collapsed="false">
      <c r="A3" s="10" t="s">
        <v>11</v>
      </c>
      <c r="B3" s="22" t="str">
        <f aca="false">RIGHT(A2,4)</f>
        <v>0457</v>
      </c>
      <c r="C3" s="23" t="s">
        <v>27</v>
      </c>
      <c r="D3" s="24" t="s">
        <v>68</v>
      </c>
    </row>
    <row r="4" customFormat="false" ht="15" hidden="false" customHeight="false" outlineLevel="0" collapsed="false">
      <c r="A4" s="10" t="s">
        <v>14</v>
      </c>
      <c r="B4" s="22" t="str">
        <f aca="false">MID(A2,5,4)</f>
        <v>2026</v>
      </c>
      <c r="C4" s="23" t="s">
        <v>31</v>
      </c>
      <c r="D4" s="24" t="s">
        <v>69</v>
      </c>
    </row>
    <row r="5" customFormat="false" ht="15" hidden="false" customHeight="false" outlineLevel="0" collapsed="false">
      <c r="A5" s="10" t="s">
        <v>17</v>
      </c>
      <c r="B5" s="22" t="n">
        <f aca="false">LEN(A3)</f>
        <v>22</v>
      </c>
      <c r="C5" s="23" t="s">
        <v>35</v>
      </c>
      <c r="D5" s="24" t="s">
        <v>70</v>
      </c>
    </row>
    <row r="6" customFormat="false" ht="15" hidden="false" customHeight="false" outlineLevel="0" collapsed="false">
      <c r="A6" s="25"/>
      <c r="B6" s="22" t="n">
        <f aca="false">FIND("@",A3)</f>
        <v>10</v>
      </c>
      <c r="C6" s="23" t="s">
        <v>39</v>
      </c>
      <c r="D6" s="24" t="s">
        <v>71</v>
      </c>
    </row>
    <row r="7" customFormat="false" ht="15" hidden="false" customHeight="false" outlineLevel="0" collapsed="false">
      <c r="A7" s="25"/>
      <c r="B7" s="22" t="str">
        <f aca="false">UPPER(A4)</f>
        <v>JUAN CARLOS BENÍTEZ</v>
      </c>
      <c r="C7" s="23" t="s">
        <v>43</v>
      </c>
      <c r="D7" s="24" t="s">
        <v>72</v>
      </c>
    </row>
    <row r="8" customFormat="false" ht="15" hidden="false" customHeight="false" outlineLevel="0" collapsed="false">
      <c r="A8" s="25"/>
      <c r="B8" s="22" t="str">
        <f aca="false">LOWER(A3)</f>
        <v>rmarkwart@epet7.edu.ar</v>
      </c>
      <c r="C8" s="23" t="s">
        <v>47</v>
      </c>
      <c r="D8" s="24" t="s">
        <v>73</v>
      </c>
    </row>
    <row r="9" customFormat="false" ht="15" hidden="false" customHeight="false" outlineLevel="0" collapsed="false">
      <c r="A9" s="25"/>
      <c r="B9" s="22" t="str">
        <f aca="false">PROPER(A4)</f>
        <v>Juan Carlos Benítez</v>
      </c>
      <c r="C9" s="23" t="s">
        <v>51</v>
      </c>
      <c r="D9" s="24" t="s">
        <v>74</v>
      </c>
    </row>
    <row r="10" customFormat="false" ht="15" hidden="false" customHeight="false" outlineLevel="0" collapsed="false">
      <c r="A10" s="25"/>
      <c r="B10" s="22" t="str">
        <f aca="false">LEFT(A3,FIND("@",A3)-1)</f>
        <v>rmarkwart</v>
      </c>
      <c r="C10" s="23" t="s">
        <v>55</v>
      </c>
      <c r="D10" s="24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2026-07-03T03:14:07Z</dcterms:created>
  <dc:creator>openpyxl</dc:creator>
  <dc:description/>
  <dc:language>en-US</dc:language>
  <cp:lastModifiedBy/>
  <dcterms:modified xsi:type="dcterms:W3CDTF">2026-07-03T03:14:07Z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